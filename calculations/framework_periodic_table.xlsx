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shro\Fractal_Reality\Fractal_Reality\calculations\"/>
    </mc:Choice>
  </mc:AlternateContent>
  <xr:revisionPtr revIDLastSave="0" documentId="13_ncr:1_{CC1C4AAD-78F1-464A-B561-46324624CA5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eriodic Table" sheetId="1" r:id="rId1"/>
    <sheet name="Lone Pair Stress Test" sheetId="2" r:id="rId2"/>
    <sheet name="Oxidation States" sheetId="3" r:id="rId3"/>
    <sheet name="Bond Angle Prediction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" i="3" l="1"/>
  <c r="F23" i="3"/>
  <c r="E23" i="3"/>
  <c r="G22" i="3"/>
  <c r="E22" i="3"/>
  <c r="F22" i="3" s="1"/>
  <c r="G21" i="3"/>
  <c r="E21" i="3"/>
  <c r="F21" i="3" s="1"/>
  <c r="G20" i="3"/>
  <c r="F20" i="3"/>
  <c r="E20" i="3"/>
  <c r="G19" i="3"/>
  <c r="E19" i="3"/>
  <c r="F19" i="3" s="1"/>
  <c r="G18" i="3"/>
  <c r="E18" i="3"/>
  <c r="F18" i="3" s="1"/>
  <c r="G17" i="3"/>
  <c r="E17" i="3"/>
  <c r="F17" i="3" s="1"/>
  <c r="G16" i="3"/>
  <c r="E16" i="3"/>
  <c r="F16" i="3" s="1"/>
  <c r="G15" i="3"/>
  <c r="F15" i="3"/>
  <c r="E15" i="3"/>
  <c r="G14" i="3"/>
  <c r="E14" i="3"/>
  <c r="F14" i="3" s="1"/>
  <c r="G13" i="3"/>
  <c r="E13" i="3"/>
  <c r="F13" i="3" s="1"/>
  <c r="G12" i="3"/>
  <c r="E12" i="3"/>
  <c r="F12" i="3" s="1"/>
  <c r="G11" i="3"/>
  <c r="E11" i="3"/>
  <c r="F11" i="3" s="1"/>
  <c r="G10" i="3"/>
  <c r="F10" i="3"/>
  <c r="E10" i="3"/>
  <c r="G9" i="3"/>
  <c r="E9" i="3"/>
  <c r="F9" i="3" s="1"/>
  <c r="G8" i="3"/>
  <c r="E8" i="3"/>
  <c r="F8" i="3" s="1"/>
  <c r="G15" i="2"/>
  <c r="F15" i="2"/>
  <c r="H15" i="2" s="1"/>
  <c r="E15" i="2"/>
  <c r="G14" i="2"/>
  <c r="F14" i="2"/>
  <c r="H14" i="2" s="1"/>
  <c r="E14" i="2"/>
  <c r="F13" i="2"/>
  <c r="H13" i="2" s="1"/>
  <c r="E13" i="2"/>
  <c r="G13" i="2" s="1"/>
  <c r="F12" i="2"/>
  <c r="H12" i="2" s="1"/>
  <c r="E12" i="2"/>
  <c r="G12" i="2" s="1"/>
  <c r="G11" i="2"/>
  <c r="F11" i="2"/>
  <c r="H11" i="2" s="1"/>
  <c r="E11" i="2"/>
  <c r="G10" i="2"/>
  <c r="F10" i="2"/>
  <c r="H10" i="2" s="1"/>
  <c r="E10" i="2"/>
  <c r="F9" i="2"/>
  <c r="H9" i="2" s="1"/>
  <c r="E9" i="2"/>
  <c r="G9" i="2" s="1"/>
  <c r="F8" i="2"/>
  <c r="H8" i="2" s="1"/>
  <c r="E8" i="2"/>
  <c r="G8" i="2" s="1"/>
  <c r="G7" i="2"/>
  <c r="F7" i="2"/>
  <c r="H7" i="2" s="1"/>
  <c r="E7" i="2"/>
  <c r="G6" i="2"/>
  <c r="F6" i="2"/>
  <c r="H6" i="2" s="1"/>
  <c r="E6" i="2"/>
  <c r="F5" i="2"/>
  <c r="H5" i="2" s="1"/>
  <c r="E5" i="2"/>
  <c r="G5" i="2" s="1"/>
  <c r="F4" i="2"/>
  <c r="H4" i="2" s="1"/>
  <c r="E4" i="2"/>
  <c r="G4" i="2" s="1"/>
  <c r="G17" i="2" l="1"/>
  <c r="H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Framework</author>
  </authors>
  <commentList>
    <comment ref="B5" authorId="0" shapeId="0" xr:uid="{00000000-0006-0000-0000-000001000000}">
      <text>
        <r>
          <rPr>
            <sz val="10"/>
            <rFont val="Arial"/>
            <family val="2"/>
          </rPr>
          <t>Element: H (Z=1)
Period n=1, Group 1, Valence v=1
Framework Z_eff = Z - S
  S computed from screening:
  same-shell: R/P(P+1) = 7/20 = 0.35
  inner shell: (V+P)/P(P+1) = 17/20 = 0.85
  deep inner: 1.00
  Z_eff = 1.000
Framework EN = Z_eff^(R/A(2)) / n
  = Z_eff^(7/10) / n = 1.000
◐ (channel balance) = v/(Phi*P) = v/8 = 0.125
  Deviation from 0.5 = -0.375
  &lt;0.5: donor; =0.5: balanced; &gt;0.5: acceptor
Max bonds = min(v, P, 8-v) = 1</t>
        </r>
      </text>
    </comment>
    <comment ref="R5" authorId="0" shapeId="0" xr:uid="{00000000-0006-0000-0000-000017000000}">
      <text>
        <r>
          <rPr>
            <sz val="10"/>
            <rFont val="Arial"/>
            <family val="2"/>
          </rPr>
          <t>Element: He (Z=2)
Period n=1, Group 18, Valence v=2
Framework Z_eff = Z - S
  S computed from screening:
  same-shell: R/P(P+1) = 7/20 = 0.35
  inner shell: (V+P)/P(P+1) = 17/20 = 0.85
  deep inner: 1.00
  Z_eff = 1.700
Framework EN = Z_eff^(R/A(2)) / n
  = Z_eff^(7/10) / n = 1.450
◐ (channel balance) = v/(Phi*P) = v/8 = 0.250
  Deviation from 0.5 = -0.250
  &lt;0.5: donor; =0.5: balanced; &gt;0.5: acceptor
Max bonds = min(v, P, 8-v) = 2</t>
        </r>
      </text>
    </comment>
    <comment ref="B6" authorId="0" shapeId="0" xr:uid="{00000000-0006-0000-0000-000002000000}">
      <text>
        <r>
          <rPr>
            <sz val="10"/>
            <rFont val="Arial"/>
            <family val="2"/>
          </rPr>
          <t>Element: Li (Z=3)
Period n=2, Group 1, Valence v=1
Framework Z_eff = Z - S
  S computed from screening:
  same-shell: R/P(P+1) = 7/20 = 0.35
  inner shell: (V+P)/P(P+1) = 17/20 = 0.85
  deep inner: 1.00
  Z_eff = 1.300
Framework EN = Z_eff^(R/A(2)) / n
  = Z_eff^(7/10) / n = 0.601
◐ (channel balance) = v/(Phi*P) = v/8 = 0.125
  Deviation from 0.5 = -0.375
  &lt;0.5: donor; =0.5: balanced; &gt;0.5: acceptor
Max bonds = min(v, P, 8-v) = 1</t>
        </r>
      </text>
    </comment>
    <comment ref="C6" authorId="0" shapeId="0" xr:uid="{00000000-0006-0000-0000-000005000000}">
      <text>
        <r>
          <rPr>
            <sz val="10"/>
            <rFont val="Arial"/>
            <family val="2"/>
          </rPr>
          <t>Element: Be (Z=4)
Period n=2, Group 2, Valence v=2
Framework Z_eff = Z - S
  S computed from screening:
  same-shell: R/P(P+1) = 7/20 = 0.35
  inner shell: (V+P)/P(P+1) = 17/20 = 0.85
  deep inner: 1.00
  Z_eff = 1.950
Framework EN = Z_eff^(R/A(2)) / n
  = Z_eff^(7/10) / n = 0.798
◐ (channel balance) = v/(Phi*P) = v/8 = 0.250
  Deviation from 0.5 = -0.250
  &lt;0.5: donor; =0.5: balanced; &gt;0.5: acceptor
Max bonds = min(v, P, 8-v) = 2</t>
        </r>
      </text>
    </comment>
    <comment ref="M6" authorId="0" shapeId="0" xr:uid="{00000000-0006-0000-0000-000008000000}">
      <text>
        <r>
          <rPr>
            <sz val="10"/>
            <rFont val="Arial"/>
            <family val="2"/>
          </rPr>
          <t>Element: B (Z=5)
Period n=2, Group 13, Valence v=3
Framework Z_eff = Z - S
  S computed from screening:
  same-shell: R/P(P+1) = 7/20 = 0.35
  inner shell: (V+P)/P(P+1) = 17/20 = 0.85
  deep inner: 1.00
  Z_eff = 2.600
Framework EN = Z_eff^(R/A(2)) / n
  = Z_eff^(7/10) / n = 0.976
◐ (channel balance) = v/(Phi*P) = v/8 = 0.375
  Deviation from 0.5 = -0.125
  &lt;0.5: donor; =0.5: balanced; &gt;0.5: acceptor
Max bonds = min(v, P, 8-v) = 3</t>
        </r>
      </text>
    </comment>
    <comment ref="N6" authorId="0" shapeId="0" xr:uid="{00000000-0006-0000-0000-00000B000000}">
      <text>
        <r>
          <rPr>
            <sz val="10"/>
            <rFont val="Arial"/>
            <family val="2"/>
          </rPr>
          <t>Element: C (Z=6)
Period n=2, Group 14, Valence v=4
Framework Z_eff = Z - S
  S computed from screening:
  same-shell: R/P(P+1) = 7/20 = 0.35
  inner shell: (V+P)/P(P+1) = 17/20 = 0.85
  deep inner: 1.00
  Z_eff = 3.250
Framework EN = Z_eff^(R/A(2)) / n
  = Z_eff^(7/10) / n = 1.141
◐ (channel balance) = v/(Phi*P) = v/8 = 0.500
  Deviation from 0.5 = +0.000
  &lt;0.5: donor; =0.5: balanced; &gt;0.5: acceptor
Max bonds = min(v, P, 8-v) = 4</t>
        </r>
      </text>
    </comment>
    <comment ref="O6" authorId="0" shapeId="0" xr:uid="{00000000-0006-0000-0000-00000E000000}">
      <text>
        <r>
          <rPr>
            <sz val="10"/>
            <rFont val="Arial"/>
            <family val="2"/>
          </rPr>
          <t>Element: N (Z=7)
Period n=2, Group 15, Valence v=5
Framework Z_eff = Z - S
  S computed from screening:
  same-shell: R/P(P+1) = 7/20 = 0.35
  inner shell: (V+P)/P(P+1) = 17/20 = 0.85
  deep inner: 1.00
  Z_eff = 3.900
Framework EN = Z_eff^(R/A(2)) / n
  = Z_eff^(7/10) / n = 1.296
◐ (channel balance) = v/(Phi*P) = v/8 = 0.625
  Deviation from 0.5 = +0.125
  &lt;0.5: donor; =0.5: balanced; &gt;0.5: acceptor
Max bonds = min(v, P, 8-v) = 3</t>
        </r>
      </text>
    </comment>
    <comment ref="P6" authorId="0" shapeId="0" xr:uid="{00000000-0006-0000-0000-000011000000}">
      <text>
        <r>
          <rPr>
            <sz val="10"/>
            <rFont val="Arial"/>
            <family val="2"/>
          </rPr>
          <t>Element: O (Z=8)
Period n=2, Group 16, Valence v=6
Framework Z_eff = Z - S
  S computed from screening:
  same-shell: R/P(P+1) = 7/20 = 0.35
  inner shell: (V+P)/P(P+1) = 17/20 = 0.85
  deep inner: 1.00
  Z_eff = 4.550
Framework EN = Z_eff^(R/A(2)) / n
  = Z_eff^(7/10) / n = 1.444
◐ (channel balance) = v/(Phi*P) = v/8 = 0.750
  Deviation from 0.5 = +0.250
  &lt;0.5: donor; =0.5: balanced; &gt;0.5: acceptor
Max bonds = min(v, P, 8-v) = 2</t>
        </r>
      </text>
    </comment>
    <comment ref="Q6" authorId="0" shapeId="0" xr:uid="{00000000-0006-0000-0000-000014000000}">
      <text>
        <r>
          <rPr>
            <sz val="10"/>
            <rFont val="Arial"/>
            <family val="2"/>
          </rPr>
          <t>Element: F (Z=9)
Period n=2, Group 17, Valence v=7
Framework Z_eff = Z - S
  S computed from screening:
  same-shell: R/P(P+1) = 7/20 = 0.35
  inner shell: (V+P)/P(P+1) = 17/20 = 0.85
  deep inner: 1.00
  Z_eff = 5.200
Framework EN = Z_eff^(R/A(2)) / n
  = Z_eff^(7/10) / n = 1.586
◐ (channel balance) = v/(Phi*P) = v/8 = 0.875
  Deviation from 0.5 = +0.375
  &lt;0.5: donor; =0.5: balanced; &gt;0.5: acceptor
Max bonds = min(v, P, 8-v) = 1</t>
        </r>
      </text>
    </comment>
    <comment ref="R6" authorId="0" shapeId="0" xr:uid="{00000000-0006-0000-0000-000018000000}">
      <text>
        <r>
          <rPr>
            <sz val="10"/>
            <rFont val="Arial"/>
            <family val="2"/>
          </rPr>
          <t>Element: Ne (Z=10)
Period n=2, Group 18, Valence v=8
Framework Z_eff = Z - S
  S computed from screening:
  same-shell: R/P(P+1) = 7/20 = 0.35
  inner shell: (V+P)/P(P+1) = 17/20 = 0.85
  deep inner: 1.00
  Z_eff = 5.850
Framework EN = Z_eff^(R/A(2)) / n
  = Z_eff^(7/10) / n = 1.722
◐ (channel balance) = v/(Phi*P) = v/8 = 1.000
  Deviation from 0.5 = +0.500
  &lt;0.5: donor; =0.5: balanced; &gt;0.5: acceptor
Max bonds = min(v, P, 8-v) = 0</t>
        </r>
      </text>
    </comment>
    <comment ref="B7" authorId="0" shapeId="0" xr:uid="{00000000-0006-0000-0000-000003000000}">
      <text>
        <r>
          <rPr>
            <sz val="10"/>
            <rFont val="Arial"/>
            <family val="2"/>
          </rPr>
          <t>Element: Na (Z=11)
Period n=3, Group 1, Valence v=1
Framework Z_eff = Z - S
  S computed from screening:
  same-shell: R/P(P+1) = 7/20 = 0.35
  inner shell: (V+P)/P(P+1) = 17/20 = 0.85
  deep inner: 1.00
  Z_eff = 2.200
Framework EN = Z_eff^(R/A(2)) / n
  = Z_eff^(7/10) / n = 0.579
◐ (channel balance) = v/(Phi*P) = v/8 = 0.125
  Deviation from 0.5 = -0.375
  &lt;0.5: donor; =0.5: balanced; &gt;0.5: acceptor
Max bonds = min(v, P, 8-v) = 1</t>
        </r>
      </text>
    </comment>
    <comment ref="C7" authorId="0" shapeId="0" xr:uid="{00000000-0006-0000-0000-000006000000}">
      <text>
        <r>
          <rPr>
            <sz val="10"/>
            <rFont val="Arial"/>
            <family val="2"/>
          </rPr>
          <t>Element: Mg (Z=12)
Period n=3, Group 2, Valence v=2
Framework Z_eff = Z - S
  S computed from screening:
  same-shell: R/P(P+1) = 7/20 = 0.35
  inner shell: (V+P)/P(P+1) = 17/20 = 0.85
  deep inner: 1.00
  Z_eff = 2.850
Framework EN = Z_eff^(R/A(2)) / n
  = Z_eff^(7/10) / n = 0.694
◐ (channel balance) = v/(Phi*P) = v/8 = 0.250
  Deviation from 0.5 = -0.250
  &lt;0.5: donor; =0.5: balanced; &gt;0.5: acceptor
Max bonds = min(v, P, 8-v) = 2</t>
        </r>
      </text>
    </comment>
    <comment ref="M7" authorId="0" shapeId="0" xr:uid="{00000000-0006-0000-0000-000009000000}">
      <text>
        <r>
          <rPr>
            <sz val="10"/>
            <rFont val="Arial"/>
            <family val="2"/>
          </rPr>
          <t>Element: Al (Z=13)
Period n=3, Group 13, Valence v=3
Framework Z_eff = Z - S
  S computed from screening:
  same-shell: R/P(P+1) = 7/20 = 0.35
  inner shell: (V+P)/P(P+1) = 17/20 = 0.85
  deep inner: 1.00
  Z_eff = 3.500
Framework EN = Z_eff^(R/A(2)) / n
  = Z_eff^(7/10) / n = 0.801
◐ (channel balance) = v/(Phi*P) = v/8 = 0.375
  Deviation from 0.5 = -0.125
  &lt;0.5: donor; =0.5: balanced; &gt;0.5: acceptor
Max bonds = min(v, P, 8-v) = 3</t>
        </r>
      </text>
    </comment>
    <comment ref="N7" authorId="0" shapeId="0" xr:uid="{00000000-0006-0000-0000-00000C000000}">
      <text>
        <r>
          <rPr>
            <sz val="10"/>
            <rFont val="Arial"/>
            <family val="2"/>
          </rPr>
          <t>Element: Si (Z=14)
Period n=3, Group 14, Valence v=4
Framework Z_eff = Z - S
  S computed from screening:
  same-shell: R/P(P+1) = 7/20 = 0.35
  inner shell: (V+P)/P(P+1) = 17/20 = 0.85
  deep inner: 1.00
  Z_eff = 4.150
Framework EN = Z_eff^(R/A(2)) / n
  = Z_eff^(7/10) / n = 0.903
◐ (channel balance) = v/(Phi*P) = v/8 = 0.500
  Deviation from 0.5 = +0.000
  &lt;0.5: donor; =0.5: balanced; &gt;0.5: acceptor
Max bonds = min(v, P, 8-v) = 4</t>
        </r>
      </text>
    </comment>
    <comment ref="O7" authorId="0" shapeId="0" xr:uid="{00000000-0006-0000-0000-00000F000000}">
      <text>
        <r>
          <rPr>
            <sz val="10"/>
            <rFont val="Arial"/>
            <family val="2"/>
          </rPr>
          <t>Element: P (Z=15)
Period n=3, Group 15, Valence v=5
Framework Z_eff = Z - S
  S computed from screening:
  same-shell: R/P(P+1) = 7/20 = 0.35
  inner shell: (V+P)/P(P+1) = 17/20 = 0.85
  deep inner: 1.00
  Z_eff = 4.800
Framework EN = Z_eff^(R/A(2)) / n
  = Z_eff^(7/10) / n = 0.999
◐ (channel balance) = v/(Phi*P) = v/8 = 0.625
  Deviation from 0.5 = +0.125
  &lt;0.5: donor; =0.5: balanced; &gt;0.5: acceptor
Max bonds = min(v, P, 8-v) = 3</t>
        </r>
      </text>
    </comment>
    <comment ref="P7" authorId="0" shapeId="0" xr:uid="{00000000-0006-0000-0000-000012000000}">
      <text>
        <r>
          <rPr>
            <sz val="10"/>
            <rFont val="Arial"/>
            <family val="2"/>
          </rPr>
          <t>Element: S (Z=16)
Period n=3, Group 16, Valence v=6
Framework Z_eff = Z - S
  S computed from screening:
  same-shell: R/P(P+1) = 7/20 = 0.35
  inner shell: (V+P)/P(P+1) = 17/20 = 0.85
  deep inner: 1.00
  Z_eff = 5.450
Framework EN = Z_eff^(R/A(2)) / n
  = Z_eff^(7/10) / n = 1.092
◐ (channel balance) = v/(Phi*P) = v/8 = 0.750
  Deviation from 0.5 = +0.250
  &lt;0.5: donor; =0.5: balanced; &gt;0.5: acceptor
Max bonds = min(v, P, 8-v) = 2</t>
        </r>
      </text>
    </comment>
    <comment ref="Q7" authorId="0" shapeId="0" xr:uid="{00000000-0006-0000-0000-000015000000}">
      <text>
        <r>
          <rPr>
            <sz val="10"/>
            <rFont val="Arial"/>
            <family val="2"/>
          </rPr>
          <t>Element: Cl (Z=17)
Period n=3, Group 17, Valence v=7
Framework Z_eff = Z - S
  S computed from screening:
  same-shell: R/P(P+1) = 7/20 = 0.35
  inner shell: (V+P)/P(P+1) = 17/20 = 0.85
  deep inner: 1.00
  Z_eff = 6.100
Framework EN = Z_eff^(R/A(2)) / n
  = Z_eff^(7/10) / n = 1.182
◐ (channel balance) = v/(Phi*P) = v/8 = 0.875
  Deviation from 0.5 = +0.375
  &lt;0.5: donor; =0.5: balanced; &gt;0.5: acceptor
Max bonds = min(v, P, 8-v) = 1</t>
        </r>
      </text>
    </comment>
    <comment ref="R7" authorId="0" shapeId="0" xr:uid="{00000000-0006-0000-0000-000019000000}">
      <text>
        <r>
          <rPr>
            <sz val="10"/>
            <rFont val="Arial"/>
            <family val="2"/>
          </rPr>
          <t>Element: Ar (Z=18)
Period n=3, Group 18, Valence v=8
Framework Z_eff = Z - S
  S computed from screening:
  same-shell: R/P(P+1) = 7/20 = 0.35
  inner shell: (V+P)/P(P+1) = 17/20 = 0.85
  deep inner: 1.00
  Z_eff = 6.750
Framework EN = Z_eff^(R/A(2)) / n
  = Z_eff^(7/10) / n = 1.269
◐ (channel balance) = v/(Phi*P) = v/8 = 1.000
  Deviation from 0.5 = +0.500
  &lt;0.5: donor; =0.5: balanced; &gt;0.5: acceptor
Max bonds = min(v, P, 8-v) = 0</t>
        </r>
      </text>
    </comment>
    <comment ref="B8" authorId="0" shapeId="0" xr:uid="{00000000-0006-0000-0000-000004000000}">
      <text>
        <r>
          <rPr>
            <sz val="10"/>
            <rFont val="Arial"/>
            <family val="2"/>
          </rPr>
          <t>Element: K (Z=19)
Period n=4, Group 1, Valence v=1
Framework Z_eff = Z - S
  S computed from screening:
  same-shell: R/P(P+1) = 7/20 = 0.35
  inner shell: (V+P)/P(P+1) = 17/20 = 0.85
  deep inner: 1.00
  Z_eff = 2.200
Framework EN = Z_eff^(R/A(2)) / n
  = Z_eff^(7/10) / n = 0.434
◐ (channel balance) = v/(Phi*P) = v/8 = 0.125
  Deviation from 0.5 = -0.375
  &lt;0.5: donor; =0.5: balanced; &gt;0.5: acceptor
Max bonds = min(v, P, 8-v) = 1</t>
        </r>
      </text>
    </comment>
    <comment ref="C8" authorId="0" shapeId="0" xr:uid="{00000000-0006-0000-0000-000007000000}">
      <text>
        <r>
          <rPr>
            <sz val="10"/>
            <rFont val="Arial"/>
            <family val="2"/>
          </rPr>
          <t>Element: Ca (Z=20)
Period n=4, Group 2, Valence v=2
Framework Z_eff = Z - S
  S computed from screening:
  same-shell: R/P(P+1) = 7/20 = 0.35
  inner shell: (V+P)/P(P+1) = 17/20 = 0.85
  deep inner: 1.00
  Z_eff = 2.850
Framework EN = Z_eff^(R/A(2)) / n
  = Z_eff^(7/10) / n = 0.520
◐ (channel balance) = v/(Phi*P) = v/8 = 0.250
  Deviation from 0.5 = -0.250
  &lt;0.5: donor; =0.5: balanced; &gt;0.5: acceptor
Max bonds = min(v, P, 8-v) = 2</t>
        </r>
      </text>
    </comment>
    <comment ref="M8" authorId="0" shapeId="0" xr:uid="{00000000-0006-0000-0000-00000A000000}">
      <text>
        <r>
          <rPr>
            <sz val="10"/>
            <rFont val="Arial"/>
            <family val="2"/>
          </rPr>
          <t>Element: Ga (Z=31)
Period n=4, Group 13, Valence v=3
Framework Z_eff = Z - S
  S computed from screening:
  same-shell: R/P(P+1) = 7/20 = 0.35
  inner shell: (V+P)/P(P+1) = 17/20 = 0.85
  deep inner: 1.00
  Z_eff = 5.000
Framework EN = Z_eff^(R/A(2)) / n
  = Z_eff^(7/10) / n = 0.771
◐ (channel balance) = v/(Phi*P) = v/8 = 0.375
  Deviation from 0.5 = -0.125
  &lt;0.5: donor; =0.5: balanced; &gt;0.5: acceptor
Max bonds = min(v, P, 8-v) = 3</t>
        </r>
      </text>
    </comment>
    <comment ref="N8" authorId="0" shapeId="0" xr:uid="{00000000-0006-0000-0000-00000D000000}">
      <text>
        <r>
          <rPr>
            <sz val="10"/>
            <rFont val="Arial"/>
            <family val="2"/>
          </rPr>
          <t>Element: Ge (Z=32)
Period n=4, Group 14, Valence v=4
Framework Z_eff = Z - S
  S computed from screening:
  same-shell: R/P(P+1) = 7/20 = 0.35
  inner shell: (V+P)/P(P+1) = 17/20 = 0.85
  deep inner: 1.00
  Z_eff = 5.650
Framework EN = Z_eff^(R/A(2)) / n
  = Z_eff^(7/10) / n = 0.840
◐ (channel balance) = v/(Phi*P) = v/8 = 0.500
  Deviation from 0.5 = +0.000
  &lt;0.5: donor; =0.5: balanced; &gt;0.5: acceptor
Max bonds = min(v, P, 8-v) = 4</t>
        </r>
      </text>
    </comment>
    <comment ref="O8" authorId="0" shapeId="0" xr:uid="{00000000-0006-0000-0000-000010000000}">
      <text>
        <r>
          <rPr>
            <sz val="10"/>
            <rFont val="Arial"/>
            <family val="2"/>
          </rPr>
          <t>Element: As (Z=33)
Period n=4, Group 15, Valence v=5
Framework Z_eff = Z - S
  S computed from screening:
  same-shell: R/P(P+1) = 7/20 = 0.35
  inner shell: (V+P)/P(P+1) = 17/20 = 0.85
  deep inner: 1.00
  Z_eff = 6.300
Framework EN = Z_eff^(R/A(2)) / n
  = Z_eff^(7/10) / n = 0.907
◐ (channel balance) = v/(Phi*P) = v/8 = 0.625
  Deviation from 0.5 = +0.125
  &lt;0.5: donor; =0.5: balanced; &gt;0.5: acceptor
Max bonds = min(v, P, 8-v) = 3</t>
        </r>
      </text>
    </comment>
    <comment ref="P8" authorId="0" shapeId="0" xr:uid="{00000000-0006-0000-0000-000013000000}">
      <text>
        <r>
          <rPr>
            <sz val="10"/>
            <rFont val="Arial"/>
            <family val="2"/>
          </rPr>
          <t>Element: Se (Z=34)
Period n=4, Group 16, Valence v=6
Framework Z_eff = Z - S
  S computed from screening:
  same-shell: R/P(P+1) = 7/20 = 0.35
  inner shell: (V+P)/P(P+1) = 17/20 = 0.85
  deep inner: 1.00
  Z_eff = 6.950
Framework EN = Z_eff^(R/A(2)) / n
  = Z_eff^(7/10) / n = 0.971
◐ (channel balance) = v/(Phi*P) = v/8 = 0.750
  Deviation from 0.5 = +0.250
  &lt;0.5: donor; =0.5: balanced; &gt;0.5: acceptor
Max bonds = min(v, P, 8-v) = 2</t>
        </r>
      </text>
    </comment>
    <comment ref="Q8" authorId="0" shapeId="0" xr:uid="{00000000-0006-0000-0000-000016000000}">
      <text>
        <r>
          <rPr>
            <sz val="10"/>
            <rFont val="Arial"/>
            <family val="2"/>
          </rPr>
          <t>Element: Br (Z=35)
Period n=4, Group 17, Valence v=7
Framework Z_eff = Z - S
  S computed from screening:
  same-shell: R/P(P+1) = 7/20 = 0.35
  inner shell: (V+P)/P(P+1) = 17/20 = 0.85
  deep inner: 1.00
  Z_eff = 7.600
Framework EN = Z_eff^(R/A(2)) / n
  = Z_eff^(7/10) / n = 1.034
◐ (channel balance) = v/(Phi*P) = v/8 = 0.875
  Deviation from 0.5 = +0.375
  &lt;0.5: donor; =0.5: balanced; &gt;0.5: acceptor
Max bonds = min(v, P, 8-v) = 1</t>
        </r>
      </text>
    </comment>
    <comment ref="R8" authorId="0" shapeId="0" xr:uid="{00000000-0006-0000-0000-00001A000000}">
      <text>
        <r>
          <rPr>
            <sz val="10"/>
            <rFont val="Arial"/>
            <family val="2"/>
          </rPr>
          <t>Element: Kr (Z=36)
Period n=4, Group 18, Valence v=8
Framework Z_eff = Z - S
  S computed from screening:
  same-shell: R/P(P+1) = 7/20 = 0.35
  inner shell: (V+P)/P(P+1) = 17/20 = 0.85
  deep inner: 1.00
  Z_eff = 8.250
Framework EN = Z_eff^(R/A(2)) / n
  = Z_eff^(7/10) / n = 1.095
◐ (channel balance) = v/(Phi*P) = v/8 = 1.000
  Deviation from 0.5 = +0.500
  &lt;0.5: donor; =0.5: balanced; &gt;0.5: acceptor
Max bonds = min(v, P, 8-v) = 0</t>
        </r>
      </text>
    </comment>
  </commentList>
</comments>
</file>

<file path=xl/sharedStrings.xml><?xml version="1.0" encoding="utf-8"?>
<sst xmlns="http://schemas.openxmlformats.org/spreadsheetml/2006/main" count="149" uniqueCount="132">
  <si>
    <t>Each cell shows: symbol, Z, framework Z_eff, framework EN = Z_eff^(7/10)/n, ◐ = v/8, max_bonds = min(v,P,8-v)</t>
  </si>
  <si>
    <t>Gr 1</t>
  </si>
  <si>
    <t>Gr 2</t>
  </si>
  <si>
    <t>Gr 13</t>
  </si>
  <si>
    <t>Gr 14</t>
  </si>
  <si>
    <t>Gr 15</t>
  </si>
  <si>
    <t>Gr 16</t>
  </si>
  <si>
    <t>Gr 17</t>
  </si>
  <si>
    <t>Gr 18</t>
  </si>
  <si>
    <t>Period 1</t>
  </si>
  <si>
    <t>H (1)
Z*=1.00
EN=1.00
◐=0.125
mb=1</t>
  </si>
  <si>
    <t>He (2)
Z*=1.70
EN=1.45
◐=0.250
mb=2</t>
  </si>
  <si>
    <t>Period 2</t>
  </si>
  <si>
    <t>Li (3)
Z*=1.30
EN=0.60
◐=0.125
mb=1</t>
  </si>
  <si>
    <t>Be (4)
Z*=1.95
EN=0.80
◐=0.250
mb=2</t>
  </si>
  <si>
    <t>B (5)
Z*=2.60
EN=0.98
◐=0.375
mb=3</t>
  </si>
  <si>
    <t>C (6)
Z*=3.25
EN=1.14
◐=0.500
mb=4</t>
  </si>
  <si>
    <t>N (7)
Z*=3.90
EN=1.30
◐=0.625
mb=3</t>
  </si>
  <si>
    <t>O (8)
Z*=4.55
EN=1.44
◐=0.750
mb=2</t>
  </si>
  <si>
    <t>F (9)
Z*=5.20
EN=1.59
◐=0.875
mb=1</t>
  </si>
  <si>
    <t>Ne (10)
Z*=5.85
EN=1.72
◐=1.000
mb=0</t>
  </si>
  <si>
    <t>Period 3</t>
  </si>
  <si>
    <t>Na (11)
Z*=2.20
EN=0.58
◐=0.125
mb=1</t>
  </si>
  <si>
    <t>Mg (12)
Z*=2.85
EN=0.69
◐=0.250
mb=2</t>
  </si>
  <si>
    <t>Al (13)
Z*=3.50
EN=0.80
◐=0.375
mb=3</t>
  </si>
  <si>
    <t>Si (14)
Z*=4.15
EN=0.90
◐=0.500
mb=4</t>
  </si>
  <si>
    <t>P (15)
Z*=4.80
EN=1.00
◐=0.625
mb=3</t>
  </si>
  <si>
    <t>S (16)
Z*=5.45
EN=1.09
◐=0.750
mb=2</t>
  </si>
  <si>
    <t>Cl (17)
Z*=6.10
EN=1.18
◐=0.875
mb=1</t>
  </si>
  <si>
    <t>Ar (18)
Z*=6.75
EN=1.27
◐=1.000
mb=0</t>
  </si>
  <si>
    <t>Period 4</t>
  </si>
  <si>
    <t>K (19)
Z*=2.20
EN=0.43
◐=0.125
mb=1</t>
  </si>
  <si>
    <t>Ca (20)
Z*=2.85
EN=0.52
◐=0.250
mb=2</t>
  </si>
  <si>
    <t>Ga (31)
Z*=5.00
EN=0.77
◐=0.375
mb=3</t>
  </si>
  <si>
    <t>Ge (32)
Z*=5.65
EN=0.84
◐=0.500
mb=4</t>
  </si>
  <si>
    <t>As (33)
Z*=6.30
EN=0.91
◐=0.625
mb=3</t>
  </si>
  <si>
    <t>Se (34)
Z*=6.95
EN=0.97
◐=0.750
mb=2</t>
  </si>
  <si>
    <t>Br (35)
Z*=7.60
EN=1.03
◐=0.875
mb=1</t>
  </si>
  <si>
    <t>Kr (36)
Z*=8.25
EN=1.10
◐=1.000
mb=0</t>
  </si>
  <si>
    <t>COLOR LEGEND (◐ deviation from balance)</t>
  </si>
  <si>
    <t>Blue = ◐ &lt; 0.5 (electron donor; positive OS favored)</t>
  </si>
  <si>
    <t>Green = ◐ ≈ 0.5 (balanced; carbon-like versatility)</t>
  </si>
  <si>
    <t>Red = ◐ &gt; 0.5 (electron acceptor; negative OS favored)</t>
  </si>
  <si>
    <t>KEY FRAMEWORK FORMULAS</t>
  </si>
  <si>
    <t>T = 3 (triad, self-determined)</t>
  </si>
  <si>
    <t>P = T+1 = 4 (pump phases, valence channels per period)</t>
  </si>
  <si>
    <t>R = 7 (rungs); V = 13 (generators+whole); G = 12 (generators)</t>
  </si>
  <si>
    <t>P(P+1) = 20 (common screening denominator)</t>
  </si>
  <si>
    <t>Z_eff = Z − S; S from Slater-mapped framework constants</t>
  </si>
  <si>
    <t>EN_framework = Z_eff^(R/A(2)) / n = Z_eff^(7/10) / n</t>
  </si>
  <si>
    <t>◐ = v/(Phi·P) = v/8 (channel balance)</t>
  </si>
  <si>
    <t>Max bonds = min(v, P, 8-v) [pump cap + octet cap]</t>
  </si>
  <si>
    <t>Bond angle (n_lp &gt; 0): cos(θ) = [−1/T + n_lp·(2/R²)] / (n−1)² (refined)</t>
  </si>
  <si>
    <t>LONE PAIR FORMULA: STRESS TEST ACROSS PERIODS 2-5</t>
  </si>
  <si>
    <t>Molecule</t>
  </si>
  <si>
    <t>n</t>
  </si>
  <si>
    <t>n_lp</t>
  </si>
  <si>
    <t>Measured (°)</t>
  </si>
  <si>
    <t>Current Formula (°)</t>
  </si>
  <si>
    <t>Refined Formula (°)</t>
  </si>
  <si>
    <t>Curr Err (°)</t>
  </si>
  <si>
    <t>Ref Err (°)</t>
  </si>
  <si>
    <t>T</t>
  </si>
  <si>
    <t>CH4</t>
  </si>
  <si>
    <t>R</t>
  </si>
  <si>
    <t>NH3</t>
  </si>
  <si>
    <t>H2O</t>
  </si>
  <si>
    <t>SiH4</t>
  </si>
  <si>
    <t>PH3</t>
  </si>
  <si>
    <t>H2S</t>
  </si>
  <si>
    <t>GeH4</t>
  </si>
  <si>
    <t>AsH3</t>
  </si>
  <si>
    <t>H2Se</t>
  </si>
  <si>
    <t>SnH4</t>
  </si>
  <si>
    <t>SbH3</t>
  </si>
  <si>
    <t>H2Te</t>
  </si>
  <si>
    <t>AVG |err|</t>
  </si>
  <si>
    <t>REFINED FORMULA:  cos(θ) = [ −1/T + n_lp·(2/R²) ] / (n−1)²   for n_lp &gt; 0</t>
  </si>
  <si>
    <t>Framework reading: (n−1)² is the 2D field attenuation per radial node.</t>
  </si>
  <si>
    <t>Each additional radial node adds one Φ-mediated attenuation step (inverse-square, dim Φ = 2).</t>
  </si>
  <si>
    <t>Period 2 (n=2): factor 1; Period 3 (n=3): factor 4 = Phi²·(T-1)? actually = Phi²; Period 4: 9; Period 5: 16.</t>
  </si>
  <si>
    <t>OXIDATION STATES FROM ◐ AND P = 4</t>
  </si>
  <si>
    <t>Hypothesis: each valence electron is a pump channel. ◐ = v/(Phi·P) = v/8.</t>
  </si>
  <si>
    <t>◐ = 0.5 → balanced (most versatile, widest OS range).</t>
  </si>
  <si>
    <t>◐ &lt; 0.5 → donor; ◐ &gt; 0.5 → acceptor. Max bonds = min(v, P, 8−v).</t>
  </si>
  <si>
    <t>Element</t>
  </si>
  <si>
    <t>Z</t>
  </si>
  <si>
    <t>Period</t>
  </si>
  <si>
    <t>Valence v</t>
  </si>
  <si>
    <t>◐</t>
  </si>
  <si>
    <t>|δ◐|</t>
  </si>
  <si>
    <t>Max Bonds</t>
  </si>
  <si>
    <t>Common OS</t>
  </si>
  <si>
    <t>Framework Reading</t>
  </si>
  <si>
    <t>Li</t>
  </si>
  <si>
    <t>+1</t>
  </si>
  <si>
    <t>donor (+OS)</t>
  </si>
  <si>
    <t>Be</t>
  </si>
  <si>
    <t>+2</t>
  </si>
  <si>
    <t>B</t>
  </si>
  <si>
    <t>+3</t>
  </si>
  <si>
    <t>C</t>
  </si>
  <si>
    <t>±4, +2</t>
  </si>
  <si>
    <t>BALANCED (±OS, maximal versatility)</t>
  </si>
  <si>
    <t>N</t>
  </si>
  <si>
    <t>-3,+3,+5</t>
  </si>
  <si>
    <t>acceptor (−OS dominant)</t>
  </si>
  <si>
    <t>O</t>
  </si>
  <si>
    <t>-2,-1</t>
  </si>
  <si>
    <t>F</t>
  </si>
  <si>
    <t>-1</t>
  </si>
  <si>
    <t>Ne</t>
  </si>
  <si>
    <t>0</t>
  </si>
  <si>
    <t>closed shell (no OS)</t>
  </si>
  <si>
    <t>Na</t>
  </si>
  <si>
    <t>Mg</t>
  </si>
  <si>
    <t>Al</t>
  </si>
  <si>
    <t>Si</t>
  </si>
  <si>
    <t>±4</t>
  </si>
  <si>
    <t>P</t>
  </si>
  <si>
    <t>S</t>
  </si>
  <si>
    <t>-2,+2,+4,+6</t>
  </si>
  <si>
    <t>Cl</t>
  </si>
  <si>
    <t>-1,+1,+3,+5,+7</t>
  </si>
  <si>
    <t>Ar</t>
  </si>
  <si>
    <t>BOND ANGLE PREDICTIONS — FRAMEWORK FORMULAS</t>
  </si>
  <si>
    <t>Refined formula (this session):</t>
  </si>
  <si>
    <t xml:space="preserve">  cos(θ_bb) = [ −1/T + n_lp·(2/R²) ] / (n−1)²   (n_lp &gt; 0)</t>
  </si>
  <si>
    <t xml:space="preserve">  cos(θ_bb) = −1/T                                      (n_lp = 0)</t>
  </si>
  <si>
    <t>Tetrahedral reference: arccos(−1/T) = arccos(−1/3) = 109.47°</t>
  </si>
  <si>
    <t>All constants are framework-native (T=3, R=7); zero free parameters.</t>
  </si>
  <si>
    <t>CIRCUMPUNCT FRAMEWORK PERIODIC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</si>
</sst>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9"/>
      <name val="Arial"/>
      <charset val="1"/>
    </font>
    <font>
      <b/>
      <sz val="11"/>
      <name val="Arial"/>
      <charset val="1"/>
    </font>
    <font>
      <sz val="9"/>
      <name val="Arial"/>
      <charset val="1"/>
    </font>
    <font>
      <sz val="10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Cambria"/>
      <charset val="1"/>
    </font>
    <font>
      <i/>
      <sz val="11"/>
      <name val="Arial"/>
      <charset val="1"/>
    </font>
  </fonts>
  <fills count="21">
    <fill>
      <patternFill patternType="none"/>
    </fill>
    <fill>
      <patternFill patternType="gray125"/>
    </fill>
    <fill>
      <patternFill patternType="solid">
        <fgColor rgb="FFCD69FF"/>
        <bgColor rgb="FFFF69CD"/>
      </patternFill>
    </fill>
    <fill>
      <patternFill patternType="solid">
        <fgColor rgb="FF9B9BFF"/>
        <bgColor rgb="FF80A0FF"/>
      </patternFill>
    </fill>
    <fill>
      <patternFill patternType="solid">
        <fgColor rgb="FF69CDFF"/>
        <bgColor rgb="FF89C5FF"/>
      </patternFill>
    </fill>
    <fill>
      <patternFill patternType="solid">
        <fgColor rgb="FF78F078"/>
        <bgColor rgb="FF80F080"/>
      </patternFill>
    </fill>
    <fill>
      <patternFill patternType="solid">
        <fgColor rgb="FFFFCD69"/>
        <bgColor rgb="FFFFC589"/>
      </patternFill>
    </fill>
    <fill>
      <patternFill patternType="solid">
        <fgColor rgb="FFFF9B9B"/>
        <bgColor rgb="FFFFA080"/>
      </patternFill>
    </fill>
    <fill>
      <patternFill patternType="solid">
        <fgColor rgb="FFFF69CD"/>
        <bgColor rgb="FFCD69FF"/>
      </patternFill>
    </fill>
    <fill>
      <patternFill patternType="solid">
        <fgColor rgb="FFFF37FF"/>
        <bgColor rgb="FFFF69CD"/>
      </patternFill>
    </fill>
    <fill>
      <patternFill patternType="solid">
        <fgColor rgb="FF80A0FF"/>
        <bgColor rgb="FF70ACFF"/>
      </patternFill>
    </fill>
    <fill>
      <patternFill patternType="solid">
        <fgColor rgb="FF80F080"/>
        <bgColor rgb="FF78F078"/>
      </patternFill>
    </fill>
    <fill>
      <patternFill patternType="solid">
        <fgColor rgb="FFFFA080"/>
        <bgColor rgb="FFFF9B9B"/>
      </patternFill>
    </fill>
    <fill>
      <patternFill patternType="solid">
        <fgColor rgb="FFD0D0D0"/>
        <bgColor rgb="FFE0E0E0"/>
      </patternFill>
    </fill>
    <fill>
      <patternFill patternType="solid">
        <fgColor rgb="FF70ACFF"/>
        <bgColor rgb="FF7DB9FF"/>
      </patternFill>
    </fill>
    <fill>
      <patternFill patternType="solid">
        <fgColor rgb="FF7DB9FF"/>
        <bgColor rgb="FF89C5FF"/>
      </patternFill>
    </fill>
    <fill>
      <patternFill patternType="solid">
        <fgColor rgb="FF89C5FF"/>
        <bgColor rgb="FF7DB9FF"/>
      </patternFill>
    </fill>
    <fill>
      <patternFill patternType="solid">
        <fgColor rgb="FFFFC589"/>
        <bgColor rgb="FFFFB97D"/>
      </patternFill>
    </fill>
    <fill>
      <patternFill patternType="solid">
        <fgColor rgb="FFFFB97D"/>
        <bgColor rgb="FFFFC589"/>
      </patternFill>
    </fill>
    <fill>
      <patternFill patternType="solid">
        <fgColor rgb="FFFFAC70"/>
        <bgColor rgb="FFFFA080"/>
      </patternFill>
    </fill>
    <fill>
      <patternFill patternType="solid">
        <fgColor rgb="FFE0E0E0"/>
        <bgColor rgb="FFD0D0D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7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5" fillId="0" borderId="0" xfId="0" applyFont="1"/>
    <xf numFmtId="0" fontId="3" fillId="13" borderId="0" xfId="0" applyFont="1" applyFill="1"/>
    <xf numFmtId="0" fontId="8" fillId="0" borderId="0" xfId="0" applyFont="1"/>
    <xf numFmtId="0" fontId="9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37FF"/>
      <rgbColor rgb="FF00FFFF"/>
      <rgbColor rgb="FF800000"/>
      <rgbColor rgb="FF008000"/>
      <rgbColor rgb="FF000080"/>
      <rgbColor rgb="FF808000"/>
      <rgbColor rgb="FF800080"/>
      <rgbColor rgb="FF008080"/>
      <rgbColor rgb="FFFFB97D"/>
      <rgbColor rgb="FF70ACFF"/>
      <rgbColor rgb="FF9B9BFF"/>
      <rgbColor rgb="FF993366"/>
      <rgbColor rgb="FFFFFFCC"/>
      <rgbColor rgb="FF80F080"/>
      <rgbColor rgb="FF660066"/>
      <rgbColor rgb="FFFFA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7DB9FF"/>
      <rgbColor rgb="FFE0E0E0"/>
      <rgbColor rgb="FFFFFF99"/>
      <rgbColor rgb="FF89C5FF"/>
      <rgbColor rgb="FFFF9B9B"/>
      <rgbColor rgb="FFCD69FF"/>
      <rgbColor rgb="FFFFC589"/>
      <rgbColor rgb="FF3366FF"/>
      <rgbColor rgb="FF69CDFF"/>
      <rgbColor rgb="FF78F078"/>
      <rgbColor rgb="FFFFCD69"/>
      <rgbColor rgb="FFFFAC70"/>
      <rgbColor rgb="FFFF69CD"/>
      <rgbColor rgb="FF666699"/>
      <rgbColor rgb="FF80A0FF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"/>
  <sheetViews>
    <sheetView tabSelected="1" zoomScaleNormal="100" workbookViewId="0">
      <selection sqref="A1:S1"/>
    </sheetView>
  </sheetViews>
  <sheetFormatPr defaultColWidth="8.6640625" defaultRowHeight="14.4" x14ac:dyDescent="0.3"/>
  <cols>
    <col min="1" max="1" width="55" customWidth="1"/>
    <col min="2" max="3" width="14" customWidth="1"/>
    <col min="13" max="18" width="14" customWidth="1"/>
  </cols>
  <sheetData>
    <row r="1" spans="1:19" ht="21" x14ac:dyDescent="0.4">
      <c r="A1" s="3" t="s">
        <v>131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x14ac:dyDescent="0.3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 x14ac:dyDescent="0.3">
      <c r="B4" s="4" t="s">
        <v>1</v>
      </c>
      <c r="C4" s="4" t="s">
        <v>2</v>
      </c>
      <c r="M4" s="4" t="s">
        <v>3</v>
      </c>
      <c r="N4" s="4" t="s">
        <v>4</v>
      </c>
      <c r="O4" s="4" t="s">
        <v>5</v>
      </c>
      <c r="P4" s="4" t="s">
        <v>6</v>
      </c>
      <c r="Q4" s="4" t="s">
        <v>7</v>
      </c>
      <c r="R4" s="4" t="s">
        <v>8</v>
      </c>
    </row>
    <row r="5" spans="1:19" ht="69.75" customHeight="1" x14ac:dyDescent="0.3">
      <c r="A5" s="5" t="s">
        <v>9</v>
      </c>
      <c r="B5" s="6" t="s">
        <v>10</v>
      </c>
      <c r="R5" s="7" t="s">
        <v>11</v>
      </c>
    </row>
    <row r="6" spans="1:19" ht="69.75" customHeight="1" x14ac:dyDescent="0.3">
      <c r="A6" s="5" t="s">
        <v>12</v>
      </c>
      <c r="B6" s="6" t="s">
        <v>13</v>
      </c>
      <c r="C6" s="7" t="s">
        <v>14</v>
      </c>
      <c r="M6" s="8" t="s">
        <v>15</v>
      </c>
      <c r="N6" s="9" t="s">
        <v>16</v>
      </c>
      <c r="O6" s="10" t="s">
        <v>17</v>
      </c>
      <c r="P6" s="11" t="s">
        <v>18</v>
      </c>
      <c r="Q6" s="12" t="s">
        <v>19</v>
      </c>
      <c r="R6" s="13" t="s">
        <v>20</v>
      </c>
    </row>
    <row r="7" spans="1:19" ht="69.75" customHeight="1" x14ac:dyDescent="0.3">
      <c r="A7" s="5" t="s">
        <v>21</v>
      </c>
      <c r="B7" s="6" t="s">
        <v>22</v>
      </c>
      <c r="C7" s="7" t="s">
        <v>23</v>
      </c>
      <c r="M7" s="8" t="s">
        <v>24</v>
      </c>
      <c r="N7" s="9" t="s">
        <v>25</v>
      </c>
      <c r="O7" s="10" t="s">
        <v>26</v>
      </c>
      <c r="P7" s="11" t="s">
        <v>27</v>
      </c>
      <c r="Q7" s="12" t="s">
        <v>28</v>
      </c>
      <c r="R7" s="13" t="s">
        <v>29</v>
      </c>
    </row>
    <row r="8" spans="1:19" ht="69.75" customHeight="1" x14ac:dyDescent="0.3">
      <c r="A8" s="5" t="s">
        <v>30</v>
      </c>
      <c r="B8" s="6" t="s">
        <v>31</v>
      </c>
      <c r="C8" s="7" t="s">
        <v>32</v>
      </c>
      <c r="M8" s="8" t="s">
        <v>33</v>
      </c>
      <c r="N8" s="9" t="s">
        <v>34</v>
      </c>
      <c r="O8" s="10" t="s">
        <v>35</v>
      </c>
      <c r="P8" s="11" t="s">
        <v>36</v>
      </c>
      <c r="Q8" s="12" t="s">
        <v>37</v>
      </c>
      <c r="R8" s="13" t="s">
        <v>38</v>
      </c>
    </row>
    <row r="11" spans="1:19" x14ac:dyDescent="0.3">
      <c r="A11" s="5" t="s">
        <v>39</v>
      </c>
    </row>
    <row r="12" spans="1:19" x14ac:dyDescent="0.3">
      <c r="A12" s="14" t="s">
        <v>40</v>
      </c>
    </row>
    <row r="13" spans="1:19" x14ac:dyDescent="0.3">
      <c r="A13" s="15" t="s">
        <v>41</v>
      </c>
    </row>
    <row r="14" spans="1:19" x14ac:dyDescent="0.3">
      <c r="A14" s="16" t="s">
        <v>42</v>
      </c>
    </row>
    <row r="16" spans="1:19" x14ac:dyDescent="0.3">
      <c r="A16" s="5" t="s">
        <v>43</v>
      </c>
    </row>
    <row r="17" spans="1:1" x14ac:dyDescent="0.3">
      <c r="A17" s="17" t="s">
        <v>44</v>
      </c>
    </row>
    <row r="18" spans="1:1" x14ac:dyDescent="0.3">
      <c r="A18" s="17" t="s">
        <v>45</v>
      </c>
    </row>
    <row r="19" spans="1:1" x14ac:dyDescent="0.3">
      <c r="A19" s="17" t="s">
        <v>46</v>
      </c>
    </row>
    <row r="20" spans="1:1" x14ac:dyDescent="0.3">
      <c r="A20" s="17" t="s">
        <v>47</v>
      </c>
    </row>
    <row r="21" spans="1:1" x14ac:dyDescent="0.3">
      <c r="A21" s="17" t="s">
        <v>48</v>
      </c>
    </row>
    <row r="22" spans="1:1" x14ac:dyDescent="0.3">
      <c r="A22" s="17" t="s">
        <v>49</v>
      </c>
    </row>
    <row r="23" spans="1:1" x14ac:dyDescent="0.3">
      <c r="A23" s="17" t="s">
        <v>50</v>
      </c>
    </row>
    <row r="24" spans="1:1" x14ac:dyDescent="0.3">
      <c r="A24" s="17" t="s">
        <v>51</v>
      </c>
    </row>
    <row r="25" spans="1:1" x14ac:dyDescent="0.3">
      <c r="A25" s="17" t="s">
        <v>52</v>
      </c>
    </row>
  </sheetData>
  <mergeCells count="2">
    <mergeCell ref="A1:S1"/>
    <mergeCell ref="A2:S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zoomScaleNormal="100" workbookViewId="0">
      <selection sqref="A1:H1"/>
    </sheetView>
  </sheetViews>
  <sheetFormatPr defaultColWidth="8.6640625" defaultRowHeight="14.4" x14ac:dyDescent="0.3"/>
  <cols>
    <col min="1" max="1" width="10" customWidth="1"/>
    <col min="2" max="2" width="5" customWidth="1"/>
    <col min="3" max="3" width="6" customWidth="1"/>
    <col min="4" max="4" width="14" customWidth="1"/>
    <col min="5" max="6" width="20" customWidth="1"/>
    <col min="7" max="8" width="12" customWidth="1"/>
  </cols>
  <sheetData>
    <row r="1" spans="1:11" ht="17.399999999999999" x14ac:dyDescent="0.3">
      <c r="A1" s="1" t="s">
        <v>53</v>
      </c>
      <c r="B1" s="1"/>
      <c r="C1" s="1"/>
      <c r="D1" s="1"/>
      <c r="E1" s="1"/>
      <c r="F1" s="1"/>
      <c r="G1" s="1"/>
      <c r="H1" s="1"/>
    </row>
    <row r="3" spans="1:11" x14ac:dyDescent="0.3">
      <c r="A3" s="18" t="s">
        <v>54</v>
      </c>
      <c r="B3" s="18" t="s">
        <v>55</v>
      </c>
      <c r="C3" s="18" t="s">
        <v>56</v>
      </c>
      <c r="D3" s="18" t="s">
        <v>57</v>
      </c>
      <c r="E3" s="18" t="s">
        <v>58</v>
      </c>
      <c r="F3" s="18" t="s">
        <v>59</v>
      </c>
      <c r="G3" s="18" t="s">
        <v>60</v>
      </c>
      <c r="H3" s="18" t="s">
        <v>61</v>
      </c>
      <c r="J3" s="19" t="s">
        <v>62</v>
      </c>
      <c r="K3">
        <v>3</v>
      </c>
    </row>
    <row r="4" spans="1:11" x14ac:dyDescent="0.3">
      <c r="A4" t="s">
        <v>63</v>
      </c>
      <c r="B4">
        <v>2</v>
      </c>
      <c r="C4">
        <v>0</v>
      </c>
      <c r="D4">
        <v>109.47</v>
      </c>
      <c r="E4">
        <f t="shared" ref="E4:E15" si="0">IF(C4=0,109.47,DEGREES(ACOS(-1/$K$3+C4*2/$K$4^2)))</f>
        <v>109.47</v>
      </c>
      <c r="F4">
        <f t="shared" ref="F4:F15" si="1">IF(C4=0,109.47,DEGREES(ACOS((-1/$K$3+C4*2/$K$4^2)/(B4-1)^2)))</f>
        <v>109.47</v>
      </c>
      <c r="G4">
        <f t="shared" ref="G4:G15" si="2">E4-D4</f>
        <v>0</v>
      </c>
      <c r="H4">
        <f t="shared" ref="H4:H15" si="3">F4-D4</f>
        <v>0</v>
      </c>
      <c r="J4" s="19" t="s">
        <v>64</v>
      </c>
      <c r="K4">
        <v>7</v>
      </c>
    </row>
    <row r="5" spans="1:11" x14ac:dyDescent="0.3">
      <c r="A5" t="s">
        <v>65</v>
      </c>
      <c r="B5">
        <v>2</v>
      </c>
      <c r="C5">
        <v>1</v>
      </c>
      <c r="D5">
        <v>107</v>
      </c>
      <c r="E5">
        <f t="shared" si="0"/>
        <v>107.00870579100668</v>
      </c>
      <c r="F5">
        <f t="shared" si="1"/>
        <v>107.00870579100668</v>
      </c>
      <c r="G5">
        <f t="shared" si="2"/>
        <v>8.7057910066761224E-3</v>
      </c>
      <c r="H5">
        <f t="shared" si="3"/>
        <v>8.7057910066761224E-3</v>
      </c>
    </row>
    <row r="6" spans="1:11" x14ac:dyDescent="0.3">
      <c r="A6" t="s">
        <v>66</v>
      </c>
      <c r="B6">
        <v>2</v>
      </c>
      <c r="C6">
        <v>2</v>
      </c>
      <c r="D6">
        <v>104.45</v>
      </c>
      <c r="E6">
        <f t="shared" si="0"/>
        <v>104.57817252862544</v>
      </c>
      <c r="F6">
        <f t="shared" si="1"/>
        <v>104.57817252862544</v>
      </c>
      <c r="G6">
        <f t="shared" si="2"/>
        <v>0.12817252862544137</v>
      </c>
      <c r="H6">
        <f t="shared" si="3"/>
        <v>0.12817252862544137</v>
      </c>
    </row>
    <row r="7" spans="1:11" x14ac:dyDescent="0.3">
      <c r="A7" t="s">
        <v>67</v>
      </c>
      <c r="B7">
        <v>3</v>
      </c>
      <c r="C7">
        <v>0</v>
      </c>
      <c r="D7">
        <v>109.47</v>
      </c>
      <c r="E7">
        <f t="shared" si="0"/>
        <v>109.47</v>
      </c>
      <c r="F7">
        <f t="shared" si="1"/>
        <v>109.47</v>
      </c>
      <c r="G7">
        <f t="shared" si="2"/>
        <v>0</v>
      </c>
      <c r="H7">
        <f t="shared" si="3"/>
        <v>0</v>
      </c>
    </row>
    <row r="8" spans="1:11" x14ac:dyDescent="0.3">
      <c r="A8" t="s">
        <v>68</v>
      </c>
      <c r="B8">
        <v>3</v>
      </c>
      <c r="C8">
        <v>1</v>
      </c>
      <c r="D8">
        <v>93.3</v>
      </c>
      <c r="E8">
        <f t="shared" si="0"/>
        <v>107.00870579100668</v>
      </c>
      <c r="F8">
        <f t="shared" si="1"/>
        <v>94.193741103453689</v>
      </c>
      <c r="G8">
        <f t="shared" si="2"/>
        <v>13.708705791006679</v>
      </c>
      <c r="H8">
        <f t="shared" si="3"/>
        <v>0.89374110345369218</v>
      </c>
    </row>
    <row r="9" spans="1:11" x14ac:dyDescent="0.3">
      <c r="A9" t="s">
        <v>69</v>
      </c>
      <c r="B9">
        <v>3</v>
      </c>
      <c r="C9">
        <v>2</v>
      </c>
      <c r="D9">
        <v>92.1</v>
      </c>
      <c r="E9">
        <f t="shared" si="0"/>
        <v>104.57817252862544</v>
      </c>
      <c r="F9">
        <f t="shared" si="1"/>
        <v>93.607730194116456</v>
      </c>
      <c r="G9">
        <f t="shared" si="2"/>
        <v>12.47817252862545</v>
      </c>
      <c r="H9">
        <f t="shared" si="3"/>
        <v>1.507730194116462</v>
      </c>
    </row>
    <row r="10" spans="1:11" x14ac:dyDescent="0.3">
      <c r="A10" t="s">
        <v>70</v>
      </c>
      <c r="B10">
        <v>4</v>
      </c>
      <c r="C10">
        <v>0</v>
      </c>
      <c r="D10">
        <v>109.3</v>
      </c>
      <c r="E10">
        <f t="shared" si="0"/>
        <v>109.47</v>
      </c>
      <c r="F10">
        <f t="shared" si="1"/>
        <v>109.47</v>
      </c>
      <c r="G10">
        <f t="shared" si="2"/>
        <v>0.17000000000000171</v>
      </c>
      <c r="H10">
        <f t="shared" si="3"/>
        <v>0.17000000000000171</v>
      </c>
    </row>
    <row r="11" spans="1:11" x14ac:dyDescent="0.3">
      <c r="A11" t="s">
        <v>71</v>
      </c>
      <c r="B11">
        <v>4</v>
      </c>
      <c r="C11">
        <v>1</v>
      </c>
      <c r="D11">
        <v>91.8</v>
      </c>
      <c r="E11">
        <f t="shared" si="0"/>
        <v>107.00870579100668</v>
      </c>
      <c r="F11">
        <f t="shared" si="1"/>
        <v>91.862549125428814</v>
      </c>
      <c r="G11">
        <f t="shared" si="2"/>
        <v>15.208705791006679</v>
      </c>
      <c r="H11">
        <f t="shared" si="3"/>
        <v>6.254912542881641E-2</v>
      </c>
    </row>
    <row r="12" spans="1:11" x14ac:dyDescent="0.3">
      <c r="A12" t="s">
        <v>72</v>
      </c>
      <c r="B12">
        <v>4</v>
      </c>
      <c r="C12">
        <v>2</v>
      </c>
      <c r="D12">
        <v>91</v>
      </c>
      <c r="E12">
        <f t="shared" si="0"/>
        <v>104.57817252862544</v>
      </c>
      <c r="F12">
        <f t="shared" si="1"/>
        <v>91.602585251426461</v>
      </c>
      <c r="G12">
        <f t="shared" si="2"/>
        <v>13.578172528625444</v>
      </c>
      <c r="H12">
        <f t="shared" si="3"/>
        <v>0.60258525142646135</v>
      </c>
    </row>
    <row r="13" spans="1:11" x14ac:dyDescent="0.3">
      <c r="A13" t="s">
        <v>73</v>
      </c>
      <c r="B13">
        <v>5</v>
      </c>
      <c r="C13">
        <v>0</v>
      </c>
      <c r="D13">
        <v>109.5</v>
      </c>
      <c r="E13">
        <f t="shared" si="0"/>
        <v>109.47</v>
      </c>
      <c r="F13">
        <f t="shared" si="1"/>
        <v>109.47</v>
      </c>
      <c r="G13">
        <f t="shared" si="2"/>
        <v>-3.0000000000001137E-2</v>
      </c>
      <c r="H13">
        <f t="shared" si="3"/>
        <v>-3.0000000000001137E-2</v>
      </c>
    </row>
    <row r="14" spans="1:11" x14ac:dyDescent="0.3">
      <c r="A14" t="s">
        <v>74</v>
      </c>
      <c r="B14">
        <v>5</v>
      </c>
      <c r="C14">
        <v>1</v>
      </c>
      <c r="D14">
        <v>91.7</v>
      </c>
      <c r="E14">
        <f t="shared" si="0"/>
        <v>107.00870579100668</v>
      </c>
      <c r="F14">
        <f t="shared" si="1"/>
        <v>91.047557732344387</v>
      </c>
      <c r="G14">
        <f t="shared" si="2"/>
        <v>15.308705791006673</v>
      </c>
      <c r="H14">
        <f t="shared" si="3"/>
        <v>-0.65244226765561564</v>
      </c>
    </row>
    <row r="15" spans="1:11" x14ac:dyDescent="0.3">
      <c r="A15" t="s">
        <v>75</v>
      </c>
      <c r="B15">
        <v>5</v>
      </c>
      <c r="C15">
        <v>2</v>
      </c>
      <c r="D15">
        <v>90.25</v>
      </c>
      <c r="E15">
        <f t="shared" si="0"/>
        <v>104.57817252862544</v>
      </c>
      <c r="F15">
        <f t="shared" si="1"/>
        <v>90.901373847817169</v>
      </c>
      <c r="G15">
        <f t="shared" si="2"/>
        <v>14.328172528625444</v>
      </c>
      <c r="H15">
        <f t="shared" si="3"/>
        <v>0.65137384781716889</v>
      </c>
    </row>
    <row r="17" spans="1:8" x14ac:dyDescent="0.3">
      <c r="A17" s="19" t="s">
        <v>76</v>
      </c>
      <c r="G17">
        <f>SUMPRODUCT(ABS(G4:G15))/12</f>
        <v>7.0789594398773739</v>
      </c>
      <c r="H17">
        <f>SUMPRODUCT(ABS(H4:H15))/12</f>
        <v>0.39227500912752805</v>
      </c>
    </row>
    <row r="20" spans="1:8" x14ac:dyDescent="0.3">
      <c r="A20" s="5" t="s">
        <v>77</v>
      </c>
    </row>
    <row r="21" spans="1:8" x14ac:dyDescent="0.3">
      <c r="A21" s="20" t="s">
        <v>78</v>
      </c>
    </row>
    <row r="22" spans="1:8" x14ac:dyDescent="0.3">
      <c r="A22" s="20" t="s">
        <v>79</v>
      </c>
    </row>
    <row r="23" spans="1:8" x14ac:dyDescent="0.3">
      <c r="A23" s="20" t="s">
        <v>80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3"/>
  <sheetViews>
    <sheetView zoomScaleNormal="100" workbookViewId="0">
      <selection sqref="A1:H1"/>
    </sheetView>
  </sheetViews>
  <sheetFormatPr defaultColWidth="8.6640625" defaultRowHeight="14.4" x14ac:dyDescent="0.3"/>
  <cols>
    <col min="1" max="1" width="10" customWidth="1"/>
    <col min="2" max="2" width="5" customWidth="1"/>
    <col min="3" max="3" width="8" customWidth="1"/>
    <col min="4" max="4" width="10" customWidth="1"/>
    <col min="5" max="6" width="8" customWidth="1"/>
    <col min="7" max="7" width="11" customWidth="1"/>
    <col min="8" max="8" width="18" customWidth="1"/>
    <col min="9" max="9" width="38" customWidth="1"/>
  </cols>
  <sheetData>
    <row r="1" spans="1:9" ht="17.399999999999999" x14ac:dyDescent="0.3">
      <c r="A1" s="1" t="s">
        <v>81</v>
      </c>
      <c r="B1" s="1"/>
      <c r="C1" s="1"/>
      <c r="D1" s="1"/>
      <c r="E1" s="1"/>
      <c r="F1" s="1"/>
      <c r="G1" s="1"/>
      <c r="H1" s="1"/>
    </row>
    <row r="3" spans="1:9" x14ac:dyDescent="0.3">
      <c r="A3" t="s">
        <v>82</v>
      </c>
    </row>
    <row r="4" spans="1:9" x14ac:dyDescent="0.3">
      <c r="A4" t="s">
        <v>83</v>
      </c>
    </row>
    <row r="5" spans="1:9" x14ac:dyDescent="0.3">
      <c r="A5" t="s">
        <v>84</v>
      </c>
    </row>
    <row r="7" spans="1:9" x14ac:dyDescent="0.3">
      <c r="A7" s="18" t="s">
        <v>85</v>
      </c>
      <c r="B7" s="18" t="s">
        <v>86</v>
      </c>
      <c r="C7" s="18" t="s">
        <v>87</v>
      </c>
      <c r="D7" s="18" t="s">
        <v>88</v>
      </c>
      <c r="E7" s="18" t="s">
        <v>89</v>
      </c>
      <c r="F7" s="18" t="s">
        <v>90</v>
      </c>
      <c r="G7" s="18" t="s">
        <v>91</v>
      </c>
      <c r="H7" s="18" t="s">
        <v>92</v>
      </c>
      <c r="I7" s="18" t="s">
        <v>93</v>
      </c>
    </row>
    <row r="8" spans="1:9" x14ac:dyDescent="0.3">
      <c r="A8" s="21" t="s">
        <v>94</v>
      </c>
      <c r="B8" s="21">
        <v>3</v>
      </c>
      <c r="C8" s="21">
        <v>2</v>
      </c>
      <c r="D8" s="21">
        <v>1</v>
      </c>
      <c r="E8" s="21">
        <f t="shared" ref="E8:E23" si="0">D8/8</f>
        <v>0.125</v>
      </c>
      <c r="F8" s="21">
        <f t="shared" ref="F8:F23" si="1">ABS(E8-0.5)</f>
        <v>0.375</v>
      </c>
      <c r="G8" s="21">
        <f t="shared" ref="G8:G23" si="2">MIN(D8,4,8-D8)</f>
        <v>1</v>
      </c>
      <c r="H8" s="21" t="s">
        <v>95</v>
      </c>
      <c r="I8" s="21" t="s">
        <v>96</v>
      </c>
    </row>
    <row r="9" spans="1:9" x14ac:dyDescent="0.3">
      <c r="A9" s="22" t="s">
        <v>97</v>
      </c>
      <c r="B9" s="22">
        <v>4</v>
      </c>
      <c r="C9" s="22">
        <v>2</v>
      </c>
      <c r="D9" s="22">
        <v>2</v>
      </c>
      <c r="E9" s="22">
        <f t="shared" si="0"/>
        <v>0.25</v>
      </c>
      <c r="F9" s="22">
        <f t="shared" si="1"/>
        <v>0.25</v>
      </c>
      <c r="G9" s="22">
        <f t="shared" si="2"/>
        <v>2</v>
      </c>
      <c r="H9" s="22" t="s">
        <v>98</v>
      </c>
      <c r="I9" s="22" t="s">
        <v>96</v>
      </c>
    </row>
    <row r="10" spans="1:9" x14ac:dyDescent="0.3">
      <c r="A10" s="23" t="s">
        <v>99</v>
      </c>
      <c r="B10" s="23">
        <v>5</v>
      </c>
      <c r="C10" s="23">
        <v>2</v>
      </c>
      <c r="D10" s="23">
        <v>3</v>
      </c>
      <c r="E10" s="23">
        <f t="shared" si="0"/>
        <v>0.375</v>
      </c>
      <c r="F10" s="23">
        <f t="shared" si="1"/>
        <v>0.125</v>
      </c>
      <c r="G10" s="23">
        <f t="shared" si="2"/>
        <v>3</v>
      </c>
      <c r="H10" s="23" t="s">
        <v>100</v>
      </c>
      <c r="I10" s="23" t="s">
        <v>96</v>
      </c>
    </row>
    <row r="11" spans="1:9" x14ac:dyDescent="0.3">
      <c r="A11" s="15" t="s">
        <v>101</v>
      </c>
      <c r="B11" s="15">
        <v>6</v>
      </c>
      <c r="C11" s="15">
        <v>2</v>
      </c>
      <c r="D11" s="15">
        <v>4</v>
      </c>
      <c r="E11" s="15">
        <f t="shared" si="0"/>
        <v>0.5</v>
      </c>
      <c r="F11" s="15">
        <f t="shared" si="1"/>
        <v>0</v>
      </c>
      <c r="G11" s="15">
        <f t="shared" si="2"/>
        <v>4</v>
      </c>
      <c r="H11" s="15" t="s">
        <v>102</v>
      </c>
      <c r="I11" s="15" t="s">
        <v>103</v>
      </c>
    </row>
    <row r="12" spans="1:9" x14ac:dyDescent="0.3">
      <c r="A12" s="24" t="s">
        <v>104</v>
      </c>
      <c r="B12" s="24">
        <v>7</v>
      </c>
      <c r="C12" s="24">
        <v>2</v>
      </c>
      <c r="D12" s="24">
        <v>5</v>
      </c>
      <c r="E12" s="24">
        <f t="shared" si="0"/>
        <v>0.625</v>
      </c>
      <c r="F12" s="24">
        <f t="shared" si="1"/>
        <v>0.125</v>
      </c>
      <c r="G12" s="24">
        <f t="shared" si="2"/>
        <v>3</v>
      </c>
      <c r="H12" s="24" t="s">
        <v>105</v>
      </c>
      <c r="I12" s="24" t="s">
        <v>106</v>
      </c>
    </row>
    <row r="13" spans="1:9" x14ac:dyDescent="0.3">
      <c r="A13" s="25" t="s">
        <v>107</v>
      </c>
      <c r="B13" s="25">
        <v>8</v>
      </c>
      <c r="C13" s="25">
        <v>2</v>
      </c>
      <c r="D13" s="25">
        <v>6</v>
      </c>
      <c r="E13" s="25">
        <f t="shared" si="0"/>
        <v>0.75</v>
      </c>
      <c r="F13" s="25">
        <f t="shared" si="1"/>
        <v>0.25</v>
      </c>
      <c r="G13" s="25">
        <f t="shared" si="2"/>
        <v>2</v>
      </c>
      <c r="H13" s="25" t="s">
        <v>108</v>
      </c>
      <c r="I13" s="25" t="s">
        <v>106</v>
      </c>
    </row>
    <row r="14" spans="1:9" x14ac:dyDescent="0.3">
      <c r="A14" s="26" t="s">
        <v>109</v>
      </c>
      <c r="B14" s="26">
        <v>9</v>
      </c>
      <c r="C14" s="26">
        <v>2</v>
      </c>
      <c r="D14" s="26">
        <v>7</v>
      </c>
      <c r="E14" s="26">
        <f t="shared" si="0"/>
        <v>0.875</v>
      </c>
      <c r="F14" s="26">
        <f t="shared" si="1"/>
        <v>0.375</v>
      </c>
      <c r="G14" s="26">
        <f t="shared" si="2"/>
        <v>1</v>
      </c>
      <c r="H14" s="26" t="s">
        <v>110</v>
      </c>
      <c r="I14" s="26" t="s">
        <v>106</v>
      </c>
    </row>
    <row r="15" spans="1:9" x14ac:dyDescent="0.3">
      <c r="A15" s="27" t="s">
        <v>111</v>
      </c>
      <c r="B15" s="27">
        <v>10</v>
      </c>
      <c r="C15" s="27">
        <v>2</v>
      </c>
      <c r="D15" s="27">
        <v>8</v>
      </c>
      <c r="E15" s="27">
        <f t="shared" si="0"/>
        <v>1</v>
      </c>
      <c r="F15" s="27">
        <f t="shared" si="1"/>
        <v>0.5</v>
      </c>
      <c r="G15" s="27">
        <f t="shared" si="2"/>
        <v>0</v>
      </c>
      <c r="H15" s="27" t="s">
        <v>112</v>
      </c>
      <c r="I15" s="27" t="s">
        <v>113</v>
      </c>
    </row>
    <row r="16" spans="1:9" x14ac:dyDescent="0.3">
      <c r="A16" s="21" t="s">
        <v>114</v>
      </c>
      <c r="B16" s="21">
        <v>11</v>
      </c>
      <c r="C16" s="21">
        <v>3</v>
      </c>
      <c r="D16" s="21">
        <v>1</v>
      </c>
      <c r="E16" s="21">
        <f t="shared" si="0"/>
        <v>0.125</v>
      </c>
      <c r="F16" s="21">
        <f t="shared" si="1"/>
        <v>0.375</v>
      </c>
      <c r="G16" s="21">
        <f t="shared" si="2"/>
        <v>1</v>
      </c>
      <c r="H16" s="21" t="s">
        <v>95</v>
      </c>
      <c r="I16" s="21" t="s">
        <v>96</v>
      </c>
    </row>
    <row r="17" spans="1:9" x14ac:dyDescent="0.3">
      <c r="A17" s="22" t="s">
        <v>115</v>
      </c>
      <c r="B17" s="22">
        <v>12</v>
      </c>
      <c r="C17" s="22">
        <v>3</v>
      </c>
      <c r="D17" s="22">
        <v>2</v>
      </c>
      <c r="E17" s="22">
        <f t="shared" si="0"/>
        <v>0.25</v>
      </c>
      <c r="F17" s="22">
        <f t="shared" si="1"/>
        <v>0.25</v>
      </c>
      <c r="G17" s="22">
        <f t="shared" si="2"/>
        <v>2</v>
      </c>
      <c r="H17" s="22" t="s">
        <v>98</v>
      </c>
      <c r="I17" s="22" t="s">
        <v>96</v>
      </c>
    </row>
    <row r="18" spans="1:9" x14ac:dyDescent="0.3">
      <c r="A18" s="23" t="s">
        <v>116</v>
      </c>
      <c r="B18" s="23">
        <v>13</v>
      </c>
      <c r="C18" s="23">
        <v>3</v>
      </c>
      <c r="D18" s="23">
        <v>3</v>
      </c>
      <c r="E18" s="23">
        <f t="shared" si="0"/>
        <v>0.375</v>
      </c>
      <c r="F18" s="23">
        <f t="shared" si="1"/>
        <v>0.125</v>
      </c>
      <c r="G18" s="23">
        <f t="shared" si="2"/>
        <v>3</v>
      </c>
      <c r="H18" s="23" t="s">
        <v>100</v>
      </c>
      <c r="I18" s="23" t="s">
        <v>96</v>
      </c>
    </row>
    <row r="19" spans="1:9" x14ac:dyDescent="0.3">
      <c r="A19" s="15" t="s">
        <v>117</v>
      </c>
      <c r="B19" s="15">
        <v>14</v>
      </c>
      <c r="C19" s="15">
        <v>3</v>
      </c>
      <c r="D19" s="15">
        <v>4</v>
      </c>
      <c r="E19" s="15">
        <f t="shared" si="0"/>
        <v>0.5</v>
      </c>
      <c r="F19" s="15">
        <f t="shared" si="1"/>
        <v>0</v>
      </c>
      <c r="G19" s="15">
        <f t="shared" si="2"/>
        <v>4</v>
      </c>
      <c r="H19" s="15" t="s">
        <v>118</v>
      </c>
      <c r="I19" s="15" t="s">
        <v>103</v>
      </c>
    </row>
    <row r="20" spans="1:9" x14ac:dyDescent="0.3">
      <c r="A20" s="24" t="s">
        <v>119</v>
      </c>
      <c r="B20" s="24">
        <v>15</v>
      </c>
      <c r="C20" s="24">
        <v>3</v>
      </c>
      <c r="D20" s="24">
        <v>5</v>
      </c>
      <c r="E20" s="24">
        <f t="shared" si="0"/>
        <v>0.625</v>
      </c>
      <c r="F20" s="24">
        <f t="shared" si="1"/>
        <v>0.125</v>
      </c>
      <c r="G20" s="24">
        <f t="shared" si="2"/>
        <v>3</v>
      </c>
      <c r="H20" s="24" t="s">
        <v>105</v>
      </c>
      <c r="I20" s="24" t="s">
        <v>106</v>
      </c>
    </row>
    <row r="21" spans="1:9" x14ac:dyDescent="0.3">
      <c r="A21" s="25" t="s">
        <v>120</v>
      </c>
      <c r="B21" s="25">
        <v>16</v>
      </c>
      <c r="C21" s="25">
        <v>3</v>
      </c>
      <c r="D21" s="25">
        <v>6</v>
      </c>
      <c r="E21" s="25">
        <f t="shared" si="0"/>
        <v>0.75</v>
      </c>
      <c r="F21" s="25">
        <f t="shared" si="1"/>
        <v>0.25</v>
      </c>
      <c r="G21" s="25">
        <f t="shared" si="2"/>
        <v>2</v>
      </c>
      <c r="H21" s="25" t="s">
        <v>121</v>
      </c>
      <c r="I21" s="25" t="s">
        <v>106</v>
      </c>
    </row>
    <row r="22" spans="1:9" x14ac:dyDescent="0.3">
      <c r="A22" s="26" t="s">
        <v>122</v>
      </c>
      <c r="B22" s="26">
        <v>17</v>
      </c>
      <c r="C22" s="26">
        <v>3</v>
      </c>
      <c r="D22" s="26">
        <v>7</v>
      </c>
      <c r="E22" s="26">
        <f t="shared" si="0"/>
        <v>0.875</v>
      </c>
      <c r="F22" s="26">
        <f t="shared" si="1"/>
        <v>0.375</v>
      </c>
      <c r="G22" s="26">
        <f t="shared" si="2"/>
        <v>1</v>
      </c>
      <c r="H22" s="26" t="s">
        <v>123</v>
      </c>
      <c r="I22" s="26" t="s">
        <v>106</v>
      </c>
    </row>
    <row r="23" spans="1:9" x14ac:dyDescent="0.3">
      <c r="A23" s="27" t="s">
        <v>124</v>
      </c>
      <c r="B23" s="27">
        <v>18</v>
      </c>
      <c r="C23" s="27">
        <v>3</v>
      </c>
      <c r="D23" s="27">
        <v>8</v>
      </c>
      <c r="E23" s="27">
        <f t="shared" si="0"/>
        <v>1</v>
      </c>
      <c r="F23" s="27">
        <f t="shared" si="1"/>
        <v>0.5</v>
      </c>
      <c r="G23" s="27">
        <f t="shared" si="2"/>
        <v>0</v>
      </c>
      <c r="H23" s="27" t="s">
        <v>112</v>
      </c>
      <c r="I23" s="27" t="s">
        <v>113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"/>
  <sheetViews>
    <sheetView zoomScaleNormal="100" workbookViewId="0">
      <selection activeCell="G1" sqref="G1"/>
    </sheetView>
  </sheetViews>
  <sheetFormatPr defaultColWidth="8.6640625" defaultRowHeight="14.4" x14ac:dyDescent="0.3"/>
  <cols>
    <col min="1" max="1" width="45" customWidth="1"/>
    <col min="2" max="6" width="12" customWidth="1"/>
  </cols>
  <sheetData>
    <row r="1" spans="1:6" ht="17.399999999999999" x14ac:dyDescent="0.3">
      <c r="A1" s="1" t="s">
        <v>125</v>
      </c>
      <c r="B1" s="1"/>
      <c r="C1" s="1"/>
      <c r="D1" s="1"/>
      <c r="E1" s="1"/>
      <c r="F1" s="1"/>
    </row>
    <row r="3" spans="1:6" x14ac:dyDescent="0.3">
      <c r="A3" s="5" t="s">
        <v>126</v>
      </c>
    </row>
    <row r="4" spans="1:6" x14ac:dyDescent="0.3">
      <c r="A4" t="s">
        <v>127</v>
      </c>
    </row>
    <row r="5" spans="1:6" x14ac:dyDescent="0.3">
      <c r="A5" t="s">
        <v>128</v>
      </c>
    </row>
    <row r="7" spans="1:6" x14ac:dyDescent="0.3">
      <c r="A7" t="s">
        <v>129</v>
      </c>
    </row>
    <row r="8" spans="1:6" x14ac:dyDescent="0.3">
      <c r="A8" t="s">
        <v>130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f43d531-13d9-421a-948b-78aaf4eac418}" enabled="1" method="Standard" siteId="{043c5d87-8370-464f-af11-0c9b9db80d8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Periodic Table</vt:lpstr>
      <vt:lpstr>Lone Pair Stress Test</vt:lpstr>
      <vt:lpstr>Oxidation States</vt:lpstr>
      <vt:lpstr>Bond Angle Predictions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Ashley Roney</cp:lastModifiedBy>
  <cp:revision>0</cp:revision>
  <dcterms:created xsi:type="dcterms:W3CDTF">2026-04-11T15:47:33Z</dcterms:created>
  <dcterms:modified xsi:type="dcterms:W3CDTF">2026-04-11T16:01:13Z</dcterms:modified>
  <dc:language>en-US</dc:language>
</cp:coreProperties>
</file>