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iodic Table" sheetId="1" state="visible" r:id="rId3"/>
    <sheet name="Lone Pair Stress Test" sheetId="2" state="visible" r:id="rId4"/>
    <sheet name="Oxidation States" sheetId="3" state="visible" r:id="rId5"/>
    <sheet name="Bond Angle Predi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Framework</author>
  </authors>
  <commentList>
    <comment ref="B5" authorId="0">
      <text>
        <r>
          <rPr>
            <sz val="10"/>
            <rFont val="Arial"/>
            <family val="2"/>
          </rPr>
          <t xml:space="preserve">Element: H (Z=1)
Period n=1, Group 1, Valence v=1
Framework Z_eff = Z - S
  S computed from screening:
  same-shell: R/P(P+1) = 7/20 = 0.35
  inner shell: (V+P)/P(P+1) = 17/20 = 0.85
  deep inner: 1.00
  Z_eff = 1.000
Framework EN = Z_eff^(R/A(2)) / n
  = Z_eff^(7/10) / n = 1.000
◐ (channel balance) = v/(Phi*P) = v/8 = 0.125
  Deviation from 0.5 = -0.375
  &lt;0.5: donor; =0.5: balanced; &gt;0.5: acceptor
Max bonds = min(v, P, 8-v) = 1</t>
        </r>
      </text>
    </comment>
    <comment ref="B6" authorId="0">
      <text>
        <r>
          <rPr>
            <sz val="10"/>
            <rFont val="Arial"/>
            <family val="2"/>
          </rPr>
          <t xml:space="preserve">Element: Li (Z=3)
Period n=2, Group 1, Valence v=1
Framework Z_eff = Z - S
  S computed from screening:
  same-shell: R/P(P+1) = 7/20 = 0.35
  inner shell: (V+P)/P(P+1) = 17/20 = 0.85
  deep inner: 1.00
  Z_eff = 1.300
Framework EN = Z_eff^(R/A(2)) / n
  = Z_eff^(7/10) / n = 0.601
◐ (channel balance) = v/(Phi*P) = v/8 = 0.125
  Deviation from 0.5 = -0.375
  &lt;0.5: donor; =0.5: balanced; &gt;0.5: acceptor
Max bonds = min(v, P, 8-v) = 1</t>
        </r>
      </text>
    </comment>
    <comment ref="B7" authorId="0">
      <text>
        <r>
          <rPr>
            <sz val="10"/>
            <rFont val="Arial"/>
            <family val="2"/>
          </rPr>
          <t xml:space="preserve">Element: Na (Z=11)
Period n=3, Group 1, Valence v=1
Framework Z_eff = Z - S
  S computed from screening:
  same-shell: R/P(P+1) = 7/20 = 0.35
  inner shell: (V+P)/P(P+1) = 17/20 = 0.85
  deep inner: 1.00
  Z_eff = 2.200
Framework EN = Z_eff^(R/A(2)) / n
  = Z_eff^(7/10) / n = 0.579
◐ (channel balance) = v/(Phi*P) = v/8 = 0.125
  Deviation from 0.5 = -0.375
  &lt;0.5: donor; =0.5: balanced; &gt;0.5: acceptor
Max bonds = min(v, P, 8-v) = 1</t>
        </r>
      </text>
    </comment>
    <comment ref="B8" authorId="0">
      <text>
        <r>
          <rPr>
            <sz val="10"/>
            <rFont val="Arial"/>
            <family val="2"/>
          </rPr>
          <t xml:space="preserve">Element: K (Z=19)
Period n=4, Group 1, Valence v=1
Framework Z_eff = Z - S
  S computed from screening:
  same-shell: R/P(P+1) = 7/20 = 0.35
  inner shell: (V+P)/P(P+1) = 17/20 = 0.85
  deep inner: 1.00
  Z_eff = 2.200
Framework EN = Z_eff^(R/A(2)) / n
  = Z_eff^(7/10) / n = 0.434
◐ (channel balance) = v/(Phi*P) = v/8 = 0.125
  Deviation from 0.5 = -0.375
  &lt;0.5: donor; =0.5: balanced; &gt;0.5: acceptor
Max bonds = min(v, P, 8-v) = 1</t>
        </r>
      </text>
    </comment>
    <comment ref="C6" authorId="0">
      <text>
        <r>
          <rPr>
            <sz val="10"/>
            <rFont val="Arial"/>
            <family val="2"/>
          </rPr>
          <t xml:space="preserve">Element: Be (Z=4)
Period n=2, Group 2, Valence v=2
Framework Z_eff = Z - S
  S computed from screening:
  same-shell: R/P(P+1) = 7/20 = 0.35
  inner shell: (V+P)/P(P+1) = 17/20 = 0.85
  deep inner: 1.00
  Z_eff = 1.950
Framework EN = Z_eff^(R/A(2)) / n
  = Z_eff^(7/10) / n = 0.798
◐ (channel balance) = v/(Phi*P) = v/8 = 0.250
  Deviation from 0.5 = -0.250
  &lt;0.5: donor; =0.5: balanced; &gt;0.5: acceptor
Max bonds = min(v, P, 8-v) = 2</t>
        </r>
      </text>
    </comment>
    <comment ref="C7" authorId="0">
      <text>
        <r>
          <rPr>
            <sz val="10"/>
            <rFont val="Arial"/>
            <family val="2"/>
          </rPr>
          <t xml:space="preserve">Element: Mg (Z=12)
Period n=3, Group 2, Valence v=2
Framework Z_eff = Z - S
  S computed from screening:
  same-shell: R/P(P+1) = 7/20 = 0.35
  inner shell: (V+P)/P(P+1) = 17/20 = 0.85
  deep inner: 1.00
  Z_eff = 2.850
Framework EN = Z_eff^(R/A(2)) / n
  = Z_eff^(7/10) / n = 0.694
◐ (channel balance) = v/(Phi*P) = v/8 = 0.250
  Deviation from 0.5 = -0.250
  &lt;0.5: donor; =0.5: balanced; &gt;0.5: acceptor
Max bonds = min(v, P, 8-v) = 2</t>
        </r>
      </text>
    </comment>
    <comment ref="C8" authorId="0">
      <text>
        <r>
          <rPr>
            <sz val="10"/>
            <rFont val="Arial"/>
            <family val="2"/>
          </rPr>
          <t xml:space="preserve">Element: Ca (Z=20)
Period n=4, Group 2, Valence v=2
Framework Z_eff = Z - S
  S computed from screening:
  same-shell: R/P(P+1) = 7/20 = 0.35
  inner shell: (V+P)/P(P+1) = 17/20 = 0.85
  deep inner: 1.00
  Z_eff = 2.850
Framework EN = Z_eff^(R/A(2)) / n
  = Z_eff^(7/10) / n = 0.520
◐ (channel balance) = v/(Phi*P) = v/8 = 0.250
  Deviation from 0.5 = -0.250
  &lt;0.5: donor; =0.5: balanced; &gt;0.5: acceptor
Max bonds = min(v, P, 8-v) = 2</t>
        </r>
      </text>
    </comment>
    <comment ref="M6" authorId="0">
      <text>
        <r>
          <rPr>
            <sz val="10"/>
            <rFont val="Arial"/>
            <family val="2"/>
          </rPr>
          <t xml:space="preserve">Element: B (Z=5)
Period n=2, Group 13, Valence v=3
Framework Z_eff = Z - S
  S computed from screening:
  same-shell: R/P(P+1) = 7/20 = 0.35
  inner shell: (V+P)/P(P+1) = 17/20 = 0.85
  deep inner: 1.00
  Z_eff = 2.600
Framework EN = Z_eff^(R/A(2)) / n
  = Z_eff^(7/10) / n = 0.976
◐ (channel balance) = v/(Phi*P) = v/8 = 0.375
  Deviation from 0.5 = -0.125
  &lt;0.5: donor; =0.5: balanced; &gt;0.5: acceptor
Max bonds = min(v, P, 8-v) = 3</t>
        </r>
      </text>
    </comment>
    <comment ref="M7" authorId="0">
      <text>
        <r>
          <rPr>
            <sz val="10"/>
            <rFont val="Arial"/>
            <family val="2"/>
          </rPr>
          <t xml:space="preserve">Element: Al (Z=13)
Period n=3, Group 13, Valence v=3
Framework Z_eff = Z - S
  S computed from screening:
  same-shell: R/P(P+1) = 7/20 = 0.35
  inner shell: (V+P)/P(P+1) = 17/20 = 0.85
  deep inner: 1.00
  Z_eff = 3.500
Framework EN = Z_eff^(R/A(2)) / n
  = Z_eff^(7/10) / n = 0.801
◐ (channel balance) = v/(Phi*P) = v/8 = 0.375
  Deviation from 0.5 = -0.125
  &lt;0.5: donor; =0.5: balanced; &gt;0.5: acceptor
Max bonds = min(v, P, 8-v) = 3</t>
        </r>
      </text>
    </comment>
    <comment ref="M8" authorId="0">
      <text>
        <r>
          <rPr>
            <sz val="10"/>
            <rFont val="Arial"/>
            <family val="2"/>
          </rPr>
          <t xml:space="preserve">Element: Ga (Z=31)
Period n=4, Group 13, Valence v=3
Framework Z_eff = Z - S
  S computed from screening:
  same-shell: R/P(P+1) = 7/20 = 0.35
  inner shell: (V+P)/P(P+1) = 17/20 = 0.85
  deep inner: 1.00
  Z_eff = 5.000
Framework EN = Z_eff^(R/A(2)) / n
  = Z_eff^(7/10) / n = 0.771
◐ (channel balance) = v/(Phi*P) = v/8 = 0.375
  Deviation from 0.5 = -0.125
  &lt;0.5: donor; =0.5: balanced; &gt;0.5: acceptor
Max bonds = min(v, P, 8-v) = 3</t>
        </r>
      </text>
    </comment>
    <comment ref="N6" authorId="0">
      <text>
        <r>
          <rPr>
            <sz val="10"/>
            <rFont val="Arial"/>
            <family val="2"/>
          </rPr>
          <t xml:space="preserve">Element: C (Z=6)
Period n=2, Group 14, Valence v=4
Framework Z_eff = Z - S
  S computed from screening:
  same-shell: R/P(P+1) = 7/20 = 0.35
  inner shell: (V+P)/P(P+1) = 17/20 = 0.85
  deep inner: 1.00
  Z_eff = 3.250
Framework EN = Z_eff^(R/A(2)) / n
  = Z_eff^(7/10) / n = 1.141
◐ (channel balance) = v/(Phi*P) = v/8 = 0.500
  Deviation from 0.5 = +0.000
  &lt;0.5: donor; =0.5: balanced; &gt;0.5: acceptor
Max bonds = min(v, P, 8-v) = 4</t>
        </r>
      </text>
    </comment>
    <comment ref="N7" authorId="0">
      <text>
        <r>
          <rPr>
            <sz val="10"/>
            <rFont val="Arial"/>
            <family val="2"/>
          </rPr>
          <t xml:space="preserve">Element: Si (Z=14)
Period n=3, Group 14, Valence v=4
Framework Z_eff = Z - S
  S computed from screening:
  same-shell: R/P(P+1) = 7/20 = 0.35
  inner shell: (V+P)/P(P+1) = 17/20 = 0.85
  deep inner: 1.00
  Z_eff = 4.150
Framework EN = Z_eff^(R/A(2)) / n
  = Z_eff^(7/10) / n = 0.903
◐ (channel balance) = v/(Phi*P) = v/8 = 0.500
  Deviation from 0.5 = +0.000
  &lt;0.5: donor; =0.5: balanced; &gt;0.5: acceptor
Max bonds = min(v, P, 8-v) = 4</t>
        </r>
      </text>
    </comment>
    <comment ref="N8" authorId="0">
      <text>
        <r>
          <rPr>
            <sz val="10"/>
            <rFont val="Arial"/>
            <family val="2"/>
          </rPr>
          <t xml:space="preserve">Element: Ge (Z=32)
Period n=4, Group 14, Valence v=4
Framework Z_eff = Z - S
  S computed from screening:
  same-shell: R/P(P+1) = 7/20 = 0.35
  inner shell: (V+P)/P(P+1) = 17/20 = 0.85
  deep inner: 1.00
  Z_eff = 5.650
Framework EN = Z_eff^(R/A(2)) / n
  = Z_eff^(7/10) / n = 0.840
◐ (channel balance) = v/(Phi*P) = v/8 = 0.500
  Deviation from 0.5 = +0.000
  &lt;0.5: donor; =0.5: balanced; &gt;0.5: acceptor
Max bonds = min(v, P, 8-v) = 4</t>
        </r>
      </text>
    </comment>
    <comment ref="O6" authorId="0">
      <text>
        <r>
          <rPr>
            <sz val="10"/>
            <rFont val="Arial"/>
            <family val="2"/>
          </rPr>
          <t xml:space="preserve">Element: N (Z=7)
Period n=2, Group 15, Valence v=5
Framework Z_eff = Z - S
  S computed from screening:
  same-shell: R/P(P+1) = 7/20 = 0.35
  inner shell: (V+P)/P(P+1) = 17/20 = 0.85
  deep inner: 1.00
  Z_eff = 3.900
Framework EN = Z_eff^(R/A(2)) / n
  = Z_eff^(7/10) / n = 1.296
◐ (channel balance) = v/(Phi*P) = v/8 = 0.625
  Deviation from 0.5 = +0.125
  &lt;0.5: donor; =0.5: balanced; &gt;0.5: acceptor
Max bonds = min(v, P, 8-v) = 3</t>
        </r>
      </text>
    </comment>
    <comment ref="O7" authorId="0">
      <text>
        <r>
          <rPr>
            <sz val="10"/>
            <rFont val="Arial"/>
            <family val="2"/>
          </rPr>
          <t xml:space="preserve">Element: P (Z=15)
Period n=3, Group 15, Valence v=5
Framework Z_eff = Z - S
  S computed from screening:
  same-shell: R/P(P+1) = 7/20 = 0.35
  inner shell: (V+P)/P(P+1) = 17/20 = 0.85
  deep inner: 1.00
  Z_eff = 4.800
Framework EN = Z_eff^(R/A(2)) / n
  = Z_eff^(7/10) / n = 0.999
◐ (channel balance) = v/(Phi*P) = v/8 = 0.625
  Deviation from 0.5 = +0.125
  &lt;0.5: donor; =0.5: balanced; &gt;0.5: acceptor
Max bonds = min(v, P, 8-v) = 3</t>
        </r>
      </text>
    </comment>
    <comment ref="O8" authorId="0">
      <text>
        <r>
          <rPr>
            <sz val="10"/>
            <rFont val="Arial"/>
            <family val="2"/>
          </rPr>
          <t xml:space="preserve">Element: As (Z=33)
Period n=4, Group 15, Valence v=5
Framework Z_eff = Z - S
  S computed from screening:
  same-shell: R/P(P+1) = 7/20 = 0.35
  inner shell: (V+P)/P(P+1) = 17/20 = 0.85
  deep inner: 1.00
  Z_eff = 6.300
Framework EN = Z_eff^(R/A(2)) / n
  = Z_eff^(7/10) / n = 0.907
◐ (channel balance) = v/(Phi*P) = v/8 = 0.625
  Deviation from 0.5 = +0.125
  &lt;0.5: donor; =0.5: balanced; &gt;0.5: acceptor
Max bonds = min(v, P, 8-v) = 3</t>
        </r>
      </text>
    </comment>
    <comment ref="P6" authorId="0">
      <text>
        <r>
          <rPr>
            <sz val="10"/>
            <rFont val="Arial"/>
            <family val="2"/>
          </rPr>
          <t xml:space="preserve">Element: O (Z=8)
Period n=2, Group 16, Valence v=6
Framework Z_eff = Z - S
  S computed from screening:
  same-shell: R/P(P+1) = 7/20 = 0.35
  inner shell: (V+P)/P(P+1) = 17/20 = 0.85
  deep inner: 1.00
  Z_eff = 4.550
Framework EN = Z_eff^(R/A(2)) / n
  = Z_eff^(7/10) / n = 1.444
◐ (channel balance) = v/(Phi*P) = v/8 = 0.750
  Deviation from 0.5 = +0.250
  &lt;0.5: donor; =0.5: balanced; &gt;0.5: acceptor
Max bonds = min(v, P, 8-v) = 2</t>
        </r>
      </text>
    </comment>
    <comment ref="P7" authorId="0">
      <text>
        <r>
          <rPr>
            <sz val="10"/>
            <rFont val="Arial"/>
            <family val="2"/>
          </rPr>
          <t xml:space="preserve">Element: S (Z=16)
Period n=3, Group 16, Valence v=6
Framework Z_eff = Z - S
  S computed from screening:
  same-shell: R/P(P+1) = 7/20 = 0.35
  inner shell: (V+P)/P(P+1) = 17/20 = 0.85
  deep inner: 1.00
  Z_eff = 5.450
Framework EN = Z_eff^(R/A(2)) / n
  = Z_eff^(7/10) / n = 1.092
◐ (channel balance) = v/(Phi*P) = v/8 = 0.750
  Deviation from 0.5 = +0.250
  &lt;0.5: donor; =0.5: balanced; &gt;0.5: acceptor
Max bonds = min(v, P, 8-v) = 2</t>
        </r>
      </text>
    </comment>
    <comment ref="P8" authorId="0">
      <text>
        <r>
          <rPr>
            <sz val="10"/>
            <rFont val="Arial"/>
            <family val="2"/>
          </rPr>
          <t xml:space="preserve">Element: Se (Z=34)
Period n=4, Group 16, Valence v=6
Framework Z_eff = Z - S
  S computed from screening:
  same-shell: R/P(P+1) = 7/20 = 0.35
  inner shell: (V+P)/P(P+1) = 17/20 = 0.85
  deep inner: 1.00
  Z_eff = 6.950
Framework EN = Z_eff^(R/A(2)) / n
  = Z_eff^(7/10) / n = 0.971
◐ (channel balance) = v/(Phi*P) = v/8 = 0.750
  Deviation from 0.5 = +0.250
  &lt;0.5: donor; =0.5: balanced; &gt;0.5: acceptor
Max bonds = min(v, P, 8-v) = 2</t>
        </r>
      </text>
    </comment>
    <comment ref="Q6" authorId="0">
      <text>
        <r>
          <rPr>
            <sz val="10"/>
            <rFont val="Arial"/>
            <family val="2"/>
          </rPr>
          <t xml:space="preserve">Element: F (Z=9)
Period n=2, Group 17, Valence v=7
Framework Z_eff = Z - S
  S computed from screening:
  same-shell: R/P(P+1) = 7/20 = 0.35
  inner shell: (V+P)/P(P+1) = 17/20 = 0.85
  deep inner: 1.00
  Z_eff = 5.200
Framework EN = Z_eff^(R/A(2)) / n
  = Z_eff^(7/10) / n = 1.586
◐ (channel balance) = v/(Phi*P) = v/8 = 0.875
  Deviation from 0.5 = +0.375
  &lt;0.5: donor; =0.5: balanced; &gt;0.5: acceptor
Max bonds = min(v, P, 8-v) = 1</t>
        </r>
      </text>
    </comment>
    <comment ref="Q7" authorId="0">
      <text>
        <r>
          <rPr>
            <sz val="10"/>
            <rFont val="Arial"/>
            <family val="2"/>
          </rPr>
          <t xml:space="preserve">Element: Cl (Z=17)
Period n=3, Group 17, Valence v=7
Framework Z_eff = Z - S
  S computed from screening:
  same-shell: R/P(P+1) = 7/20 = 0.35
  inner shell: (V+P)/P(P+1) = 17/20 = 0.85
  deep inner: 1.00
  Z_eff = 6.100
Framework EN = Z_eff^(R/A(2)) / n
  = Z_eff^(7/10) / n = 1.182
◐ (channel balance) = v/(Phi*P) = v/8 = 0.875
  Deviation from 0.5 = +0.375
  &lt;0.5: donor; =0.5: balanced; &gt;0.5: acceptor
Max bonds = min(v, P, 8-v) = 1</t>
        </r>
      </text>
    </comment>
    <comment ref="Q8" authorId="0">
      <text>
        <r>
          <rPr>
            <sz val="10"/>
            <rFont val="Arial"/>
            <family val="2"/>
          </rPr>
          <t xml:space="preserve">Element: Br (Z=35)
Period n=4, Group 17, Valence v=7
Framework Z_eff = Z - S
  S computed from screening:
  same-shell: R/P(P+1) = 7/20 = 0.35
  inner shell: (V+P)/P(P+1) = 17/20 = 0.85
  deep inner: 1.00
  Z_eff = 7.600
Framework EN = Z_eff^(R/A(2)) / n
  = Z_eff^(7/10) / n = 1.034
◐ (channel balance) = v/(Phi*P) = v/8 = 0.875
  Deviation from 0.5 = +0.375
  &lt;0.5: donor; =0.5: balanced; &gt;0.5: acceptor
Max bonds = min(v, P, 8-v) = 1</t>
        </r>
      </text>
    </comment>
    <comment ref="R5" authorId="0">
      <text>
        <r>
          <rPr>
            <sz val="10"/>
            <rFont val="Arial"/>
            <family val="2"/>
          </rPr>
          <t xml:space="preserve">Element: He (Z=2)
Period n=1, Group 18, Valence v=2
Framework Z_eff = Z - S
  S computed from screening:
  same-shell: R/P(P+1) = 7/20 = 0.35
  inner shell: (V+P)/P(P+1) = 17/20 = 0.85
  deep inner: 1.00
  Z_eff = 1.700
Framework EN = Z_eff^(R/A(2)) / n
  = Z_eff^(7/10) / n = 1.450
◐ (channel balance) = v/(Phi*P) = v/8 = 0.250
  Deviation from 0.5 = -0.250
  &lt;0.5: donor; =0.5: balanced; &gt;0.5: acceptor
Max bonds = min(v, P, 8-v) = 2</t>
        </r>
      </text>
    </comment>
    <comment ref="R6" authorId="0">
      <text>
        <r>
          <rPr>
            <sz val="10"/>
            <rFont val="Arial"/>
            <family val="2"/>
          </rPr>
          <t xml:space="preserve">Element: Ne (Z=10)
Period n=2, Group 18, Valence v=8
Framework Z_eff = Z - S
  S computed from screening:
  same-shell: R/P(P+1) = 7/20 = 0.35
  inner shell: (V+P)/P(P+1) = 17/20 = 0.85
  deep inner: 1.00
  Z_eff = 5.850
Framework EN = Z_eff^(R/A(2)) / n
  = Z_eff^(7/10) / n = 1.722
◐ (channel balance) = v/(Phi*P) = v/8 = 1.000
  Deviation from 0.5 = +0.500
  &lt;0.5: donor; =0.5: balanced; &gt;0.5: acceptor
Max bonds = min(v, P, 8-v) = 0</t>
        </r>
      </text>
    </comment>
    <comment ref="R7" authorId="0">
      <text>
        <r>
          <rPr>
            <sz val="10"/>
            <rFont val="Arial"/>
            <family val="2"/>
          </rPr>
          <t xml:space="preserve">Element: Ar (Z=18)
Period n=3, Group 18, Valence v=8
Framework Z_eff = Z - S
  S computed from screening:
  same-shell: R/P(P+1) = 7/20 = 0.35
  inner shell: (V+P)/P(P+1) = 17/20 = 0.85
  deep inner: 1.00
  Z_eff = 6.750
Framework EN = Z_eff^(R/A(2)) / n
  = Z_eff^(7/10) / n = 1.269
◐ (channel balance) = v/(Phi*P) = v/8 = 1.000
  Deviation from 0.5 = +0.500
  &lt;0.5: donor; =0.5: balanced; &gt;0.5: acceptor
Max bonds = min(v, P, 8-v) = 0</t>
        </r>
      </text>
    </comment>
    <comment ref="R8" authorId="0">
      <text>
        <r>
          <rPr>
            <sz val="10"/>
            <rFont val="Arial"/>
            <family val="2"/>
          </rPr>
          <t xml:space="preserve">Element: Kr (Z=36)
Period n=4, Group 18, Valence v=8
Framework Z_eff = Z - S
  S computed from screening:
  same-shell: R/P(P+1) = 7/20 = 0.35
  inner shell: (V+P)/P(P+1) = 17/20 = 0.85
  deep inner: 1.00
  Z_eff = 8.250
Framework EN = Z_eff^(R/A(2)) / n
  = Z_eff^(7/10) / n = 1.095
◐ (channel balance) = v/(Phi*P) = v/8 = 1.000
  Deviation from 0.5 = +0.500
  &lt;0.5: donor; =0.5: balanced; &gt;0.5: acceptor
Max bonds = min(v, P, 8-v) = 0</t>
        </r>
      </text>
    </comment>
  </commentList>
</comments>
</file>

<file path=xl/sharedStrings.xml><?xml version="1.0" encoding="utf-8"?>
<sst xmlns="http://schemas.openxmlformats.org/spreadsheetml/2006/main" count="149" uniqueCount="132">
  <si>
    <t xml:space="preserve">FRAMEWORK PERIODIC TABLE</t>
  </si>
  <si>
    <t xml:space="preserve">Each cell shows: symbol, Z, framework Z_eff, framework EN = Z_eff^(7/10)/n, ◐ = v/8, max_bonds = min(v,P,8-v)</t>
  </si>
  <si>
    <t xml:space="preserve">Gr 1</t>
  </si>
  <si>
    <t xml:space="preserve">Gr 2</t>
  </si>
  <si>
    <t xml:space="preserve">Gr 13</t>
  </si>
  <si>
    <t xml:space="preserve">Gr 14</t>
  </si>
  <si>
    <t xml:space="preserve">Gr 15</t>
  </si>
  <si>
    <t xml:space="preserve">Gr 16</t>
  </si>
  <si>
    <t xml:space="preserve">Gr 17</t>
  </si>
  <si>
    <t xml:space="preserve">Gr 18</t>
  </si>
  <si>
    <t xml:space="preserve">Period 1</t>
  </si>
  <si>
    <t xml:space="preserve">H (1)
Z*=1.00
EN=1.00
◐=0.125
mb=1</t>
  </si>
  <si>
    <t xml:space="preserve">He (2)
Z*=1.70
EN=1.45
◐=0.250
mb=2</t>
  </si>
  <si>
    <t xml:space="preserve">Period 2</t>
  </si>
  <si>
    <t xml:space="preserve">Li (3)
Z*=1.30
EN=0.60
◐=0.125
mb=1</t>
  </si>
  <si>
    <t xml:space="preserve">Be (4)
Z*=1.95
EN=0.80
◐=0.250
mb=2</t>
  </si>
  <si>
    <t xml:space="preserve">B (5)
Z*=2.60
EN=0.98
◐=0.375
mb=3</t>
  </si>
  <si>
    <t xml:space="preserve">C (6)
Z*=3.25
EN=1.14
◐=0.500
mb=4</t>
  </si>
  <si>
    <t xml:space="preserve">N (7)
Z*=3.90
EN=1.30
◐=0.625
mb=3</t>
  </si>
  <si>
    <t xml:space="preserve">O (8)
Z*=4.55
EN=1.44
◐=0.750
mb=2</t>
  </si>
  <si>
    <t xml:space="preserve">F (9)
Z*=5.20
EN=1.59
◐=0.875
mb=1</t>
  </si>
  <si>
    <t xml:space="preserve">Ne (10)
Z*=5.85
EN=1.72
◐=1.000
mb=0</t>
  </si>
  <si>
    <t xml:space="preserve">Period 3</t>
  </si>
  <si>
    <t xml:space="preserve">Na (11)
Z*=2.20
EN=0.58
◐=0.125
mb=1</t>
  </si>
  <si>
    <t xml:space="preserve">Mg (12)
Z*=2.85
EN=0.69
◐=0.250
mb=2</t>
  </si>
  <si>
    <t xml:space="preserve">Al (13)
Z*=3.50
EN=0.80
◐=0.375
mb=3</t>
  </si>
  <si>
    <t xml:space="preserve">Si (14)
Z*=4.15
EN=0.90
◐=0.500
mb=4</t>
  </si>
  <si>
    <t xml:space="preserve">P (15)
Z*=4.80
EN=1.00
◐=0.625
mb=3</t>
  </si>
  <si>
    <t xml:space="preserve">S (16)
Z*=5.45
EN=1.09
◐=0.750
mb=2</t>
  </si>
  <si>
    <t xml:space="preserve">Cl (17)
Z*=6.10
EN=1.18
◐=0.875
mb=1</t>
  </si>
  <si>
    <t xml:space="preserve">Ar (18)
Z*=6.75
EN=1.27
◐=1.000
mb=0</t>
  </si>
  <si>
    <t xml:space="preserve">Period 4</t>
  </si>
  <si>
    <t xml:space="preserve">K (19)
Z*=2.20
EN=0.43
◐=0.125
mb=1</t>
  </si>
  <si>
    <t xml:space="preserve">Ca (20)
Z*=2.85
EN=0.52
◐=0.250
mb=2</t>
  </si>
  <si>
    <t xml:space="preserve">Ga (31)
Z*=5.00
EN=0.77
◐=0.375
mb=3</t>
  </si>
  <si>
    <t xml:space="preserve">Ge (32)
Z*=5.65
EN=0.84
◐=0.500
mb=4</t>
  </si>
  <si>
    <t xml:space="preserve">As (33)
Z*=6.30
EN=0.91
◐=0.625
mb=3</t>
  </si>
  <si>
    <t xml:space="preserve">Se (34)
Z*=6.95
EN=0.97
◐=0.750
mb=2</t>
  </si>
  <si>
    <t xml:space="preserve">Br (35)
Z*=7.60
EN=1.03
◐=0.875
mb=1</t>
  </si>
  <si>
    <t xml:space="preserve">Kr (36)
Z*=8.25
EN=1.10
◐=1.000
mb=0</t>
  </si>
  <si>
    <t xml:space="preserve">COLOR LEGEND (◐ deviation from balance)</t>
  </si>
  <si>
    <t xml:space="preserve">Blue = ◐ &lt; 0.5 (electron donor; positive OS favored)</t>
  </si>
  <si>
    <t xml:space="preserve">Green = ◐ ≈ 0.5 (balanced; carbon-like versatility)</t>
  </si>
  <si>
    <t xml:space="preserve">Red = ◐ &gt; 0.5 (electron acceptor; negative OS favored)</t>
  </si>
  <si>
    <t xml:space="preserve">KEY FRAMEWORK FORMULAS</t>
  </si>
  <si>
    <t xml:space="preserve">T = 3 (triad, self-determined)</t>
  </si>
  <si>
    <t xml:space="preserve">P = T+1 = 4 (pump phases, valence channels per period)</t>
  </si>
  <si>
    <t xml:space="preserve">R = 7 (rungs); V = 13 (generators+whole); G = 12 (generators)</t>
  </si>
  <si>
    <t xml:space="preserve">P(P+1) = 20 (common screening denominator)</t>
  </si>
  <si>
    <t xml:space="preserve">Z_eff = Z − S; S from Slater-mapped framework constants</t>
  </si>
  <si>
    <t xml:space="preserve">EN_framework = Z_eff^(R/A(2)) / n = Z_eff^(7/10) / n</t>
  </si>
  <si>
    <t xml:space="preserve">◐ = v/(Phi·P) = v/8 (channel balance)</t>
  </si>
  <si>
    <t xml:space="preserve">Max bonds = min(v, P, 8-v) [pump cap + octet cap]</t>
  </si>
  <si>
    <t xml:space="preserve">Bond angle (n_lp &gt; 0): cos(θ) = [−1/T + n_lp·(2/R²)] / (n−1)² (refined)</t>
  </si>
  <si>
    <t xml:space="preserve">LONE PAIR FORMULA: STRESS TEST ACROSS PERIODS 2-5</t>
  </si>
  <si>
    <t xml:space="preserve">Molecule</t>
  </si>
  <si>
    <t xml:space="preserve">n</t>
  </si>
  <si>
    <t xml:space="preserve">n_lp</t>
  </si>
  <si>
    <t xml:space="preserve">Measured (°)</t>
  </si>
  <si>
    <t xml:space="preserve">Current Formula (°)</t>
  </si>
  <si>
    <t xml:space="preserve">Refined Formula (°)</t>
  </si>
  <si>
    <t xml:space="preserve">Curr Err (°)</t>
  </si>
  <si>
    <t xml:space="preserve">Ref Err (°)</t>
  </si>
  <si>
    <t xml:space="preserve">T</t>
  </si>
  <si>
    <t xml:space="preserve">CH4</t>
  </si>
  <si>
    <t xml:space="preserve">R</t>
  </si>
  <si>
    <t xml:space="preserve">NH3</t>
  </si>
  <si>
    <t xml:space="preserve">H2O</t>
  </si>
  <si>
    <t xml:space="preserve">SiH4</t>
  </si>
  <si>
    <t xml:space="preserve">PH3</t>
  </si>
  <si>
    <t xml:space="preserve">H2S</t>
  </si>
  <si>
    <t xml:space="preserve">GeH4</t>
  </si>
  <si>
    <t xml:space="preserve">AsH3</t>
  </si>
  <si>
    <t xml:space="preserve">H2Se</t>
  </si>
  <si>
    <t xml:space="preserve">SnH4</t>
  </si>
  <si>
    <t xml:space="preserve">SbH3</t>
  </si>
  <si>
    <t xml:space="preserve">H2Te</t>
  </si>
  <si>
    <t xml:space="preserve">AVG |err|</t>
  </si>
  <si>
    <t xml:space="preserve">REFINED FORMULA:  cos(θ) = [ −1/T + n_lp·(2/R²) ] / (n−1)²   for n_lp &gt; 0</t>
  </si>
  <si>
    <t xml:space="preserve">Framework reading: (n−1)² is the 2D field attenuation per radial node.</t>
  </si>
  <si>
    <t xml:space="preserve">Each additional radial node adds one Φ-mediated attenuation step (inverse-square, dim Φ = 2).</t>
  </si>
  <si>
    <t xml:space="preserve">Period 2 (n=2): factor 1; Period 3 (n=3): factor 4 = Phi²·(T-1)? actually = Phi²; Period 4: 9; Period 5: 16.</t>
  </si>
  <si>
    <t xml:space="preserve">OXIDATION STATES FROM ◐ AND P = 4</t>
  </si>
  <si>
    <t xml:space="preserve">Hypothesis: each valence electron is a pump channel. ◐ = v/(Phi·P) = v/8.</t>
  </si>
  <si>
    <t xml:space="preserve">◐ = 0.5 → balanced (most versatile, widest OS range).</t>
  </si>
  <si>
    <t xml:space="preserve">◐ &lt; 0.5 → donor; ◐ &gt; 0.5 → acceptor. Max bonds = min(v, P, 8−v).</t>
  </si>
  <si>
    <t xml:space="preserve">Element</t>
  </si>
  <si>
    <t xml:space="preserve">Z</t>
  </si>
  <si>
    <t xml:space="preserve">Period</t>
  </si>
  <si>
    <t xml:space="preserve">Valence v</t>
  </si>
  <si>
    <t xml:space="preserve">◐</t>
  </si>
  <si>
    <t xml:space="preserve">|δ◐|</t>
  </si>
  <si>
    <t xml:space="preserve">Max Bonds</t>
  </si>
  <si>
    <t xml:space="preserve">Common OS</t>
  </si>
  <si>
    <t xml:space="preserve">Framework Reading</t>
  </si>
  <si>
    <t xml:space="preserve">Li</t>
  </si>
  <si>
    <t xml:space="preserve">+1</t>
  </si>
  <si>
    <t xml:space="preserve">donor (+OS)</t>
  </si>
  <si>
    <t xml:space="preserve">Be</t>
  </si>
  <si>
    <t xml:space="preserve">+2</t>
  </si>
  <si>
    <t xml:space="preserve">B</t>
  </si>
  <si>
    <t xml:space="preserve">+3</t>
  </si>
  <si>
    <t xml:space="preserve">C</t>
  </si>
  <si>
    <t xml:space="preserve">±4, +2</t>
  </si>
  <si>
    <t xml:space="preserve">BALANCED (±OS, maximal versatility)</t>
  </si>
  <si>
    <t xml:space="preserve">N</t>
  </si>
  <si>
    <t xml:space="preserve">-3,+3,+5</t>
  </si>
  <si>
    <t xml:space="preserve">acceptor (−OS dominant)</t>
  </si>
  <si>
    <t xml:space="preserve">O</t>
  </si>
  <si>
    <t xml:space="preserve">-2,-1</t>
  </si>
  <si>
    <t xml:space="preserve">F</t>
  </si>
  <si>
    <t xml:space="preserve">-1</t>
  </si>
  <si>
    <t xml:space="preserve">Ne</t>
  </si>
  <si>
    <t xml:space="preserve">0</t>
  </si>
  <si>
    <t xml:space="preserve">closed shell (no OS)</t>
  </si>
  <si>
    <t xml:space="preserve">Na</t>
  </si>
  <si>
    <t xml:space="preserve">Mg</t>
  </si>
  <si>
    <t xml:space="preserve">Al</t>
  </si>
  <si>
    <t xml:space="preserve">Si</t>
  </si>
  <si>
    <t xml:space="preserve">±4</t>
  </si>
  <si>
    <t xml:space="preserve">P</t>
  </si>
  <si>
    <t xml:space="preserve">S</t>
  </si>
  <si>
    <t xml:space="preserve">-2,+2,+4,+6</t>
  </si>
  <si>
    <t xml:space="preserve">Cl</t>
  </si>
  <si>
    <t xml:space="preserve">-1,+1,+3,+5,+7</t>
  </si>
  <si>
    <t xml:space="preserve">Ar</t>
  </si>
  <si>
    <t xml:space="preserve">BOND ANGLE PREDICTIONS — FRAMEWORK FORMULAS</t>
  </si>
  <si>
    <t xml:space="preserve">Refined formula (this session):</t>
  </si>
  <si>
    <t xml:space="preserve">  cos(θ_bb) = [ −1/T + n_lp·(2/R²) ] / (n−1)²   (n_lp &gt; 0)</t>
  </si>
  <si>
    <t xml:space="preserve">  cos(θ_bb) = −1/T                                      (n_lp = 0)</t>
  </si>
  <si>
    <t xml:space="preserve">Tetrahedral reference: arccos(−1/T) = arccos(−1/3) = 109.47°</t>
  </si>
  <si>
    <t xml:space="preserve">All constants are framework-native (T=3, R=7); zero free parameters.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</si>
</sst>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11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CD69FF"/>
        <bgColor rgb="FFFF69CD"/>
      </patternFill>
    </fill>
    <fill>
      <patternFill patternType="solid">
        <fgColor rgb="FF9B9BFF"/>
        <bgColor rgb="FF80A0FF"/>
      </patternFill>
    </fill>
    <fill>
      <patternFill patternType="solid">
        <fgColor rgb="FF69CDFF"/>
        <bgColor rgb="FF89C5FF"/>
      </patternFill>
    </fill>
    <fill>
      <patternFill patternType="solid">
        <fgColor rgb="FF78F078"/>
        <bgColor rgb="FF80F080"/>
      </patternFill>
    </fill>
    <fill>
      <patternFill patternType="solid">
        <fgColor rgb="FFFFCD69"/>
        <bgColor rgb="FFFFC589"/>
      </patternFill>
    </fill>
    <fill>
      <patternFill patternType="solid">
        <fgColor rgb="FFFF9B9B"/>
        <bgColor rgb="FFFFA080"/>
      </patternFill>
    </fill>
    <fill>
      <patternFill patternType="solid">
        <fgColor rgb="FFFF69CD"/>
        <bgColor rgb="FFCD69FF"/>
      </patternFill>
    </fill>
    <fill>
      <patternFill patternType="solid">
        <fgColor rgb="FFFF37FF"/>
        <bgColor rgb="FFFF69CD"/>
      </patternFill>
    </fill>
    <fill>
      <patternFill patternType="solid">
        <fgColor rgb="FF80A0FF"/>
        <bgColor rgb="FF70ACFF"/>
      </patternFill>
    </fill>
    <fill>
      <patternFill patternType="solid">
        <fgColor rgb="FF80F080"/>
        <bgColor rgb="FF78F078"/>
      </patternFill>
    </fill>
    <fill>
      <patternFill patternType="solid">
        <fgColor rgb="FFFFA080"/>
        <bgColor rgb="FFFF9B9B"/>
      </patternFill>
    </fill>
    <fill>
      <patternFill patternType="solid">
        <fgColor rgb="FFD0D0D0"/>
        <bgColor rgb="FFE0E0E0"/>
      </patternFill>
    </fill>
    <fill>
      <patternFill patternType="solid">
        <fgColor rgb="FF70ACFF"/>
        <bgColor rgb="FF7DB9FF"/>
      </patternFill>
    </fill>
    <fill>
      <patternFill patternType="solid">
        <fgColor rgb="FF7DB9FF"/>
        <bgColor rgb="FF89C5FF"/>
      </patternFill>
    </fill>
    <fill>
      <patternFill patternType="solid">
        <fgColor rgb="FF89C5FF"/>
        <bgColor rgb="FF7DB9FF"/>
      </patternFill>
    </fill>
    <fill>
      <patternFill patternType="solid">
        <fgColor rgb="FFFFC589"/>
        <bgColor rgb="FFFFB97D"/>
      </patternFill>
    </fill>
    <fill>
      <patternFill patternType="solid">
        <fgColor rgb="FFFFB97D"/>
        <bgColor rgb="FFFFC589"/>
      </patternFill>
    </fill>
    <fill>
      <patternFill patternType="solid">
        <fgColor rgb="FFFFAC70"/>
        <bgColor rgb="FFFFA080"/>
      </patternFill>
    </fill>
    <fill>
      <patternFill patternType="solid">
        <fgColor rgb="FFE0E0E0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37FF"/>
      <rgbColor rgb="FF00FFFF"/>
      <rgbColor rgb="FF800000"/>
      <rgbColor rgb="FF008000"/>
      <rgbColor rgb="FF000080"/>
      <rgbColor rgb="FF808000"/>
      <rgbColor rgb="FF800080"/>
      <rgbColor rgb="FF008080"/>
      <rgbColor rgb="FFFFB97D"/>
      <rgbColor rgb="FF70ACFF"/>
      <rgbColor rgb="FF9B9BFF"/>
      <rgbColor rgb="FF993366"/>
      <rgbColor rgb="FFFFFFCC"/>
      <rgbColor rgb="FF80F080"/>
      <rgbColor rgb="FF660066"/>
      <rgbColor rgb="FFFFA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7DB9FF"/>
      <rgbColor rgb="FFE0E0E0"/>
      <rgbColor rgb="FFFFFF99"/>
      <rgbColor rgb="FF89C5FF"/>
      <rgbColor rgb="FFFF9B9B"/>
      <rgbColor rgb="FFCD69FF"/>
      <rgbColor rgb="FFFFC589"/>
      <rgbColor rgb="FF3366FF"/>
      <rgbColor rgb="FF69CDFF"/>
      <rgbColor rgb="FF78F078"/>
      <rgbColor rgb="FFFFCD69"/>
      <rgbColor rgb="FFFFAC70"/>
      <rgbColor rgb="FFFF69CD"/>
      <rgbColor rgb="FF666699"/>
      <rgbColor rgb="FF80A0F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14"/>
    <col collapsed="false" customWidth="true" hidden="false" outlineLevel="0" max="18" min="13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15" hidden="false" customHeight="false" outlineLevel="0" collapsed="false">
      <c r="B4" s="3" t="s">
        <v>2</v>
      </c>
      <c r="C4" s="3" t="s">
        <v>3</v>
      </c>
      <c r="M4" s="3" t="s">
        <v>4</v>
      </c>
      <c r="N4" s="3" t="s">
        <v>5</v>
      </c>
      <c r="O4" s="3" t="s">
        <v>6</v>
      </c>
      <c r="P4" s="3" t="s">
        <v>7</v>
      </c>
      <c r="Q4" s="3" t="s">
        <v>8</v>
      </c>
      <c r="R4" s="3" t="s">
        <v>9</v>
      </c>
    </row>
    <row r="5" customFormat="false" ht="69.75" hidden="false" customHeight="true" outlineLevel="0" collapsed="false">
      <c r="A5" s="4" t="s">
        <v>10</v>
      </c>
      <c r="B5" s="5" t="s">
        <v>11</v>
      </c>
      <c r="R5" s="6" t="s">
        <v>12</v>
      </c>
    </row>
    <row r="6" customFormat="false" ht="69.75" hidden="false" customHeight="true" outlineLevel="0" collapsed="false">
      <c r="A6" s="4" t="s">
        <v>13</v>
      </c>
      <c r="B6" s="5" t="s">
        <v>14</v>
      </c>
      <c r="C6" s="6" t="s">
        <v>15</v>
      </c>
      <c r="M6" s="7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12" t="s">
        <v>21</v>
      </c>
    </row>
    <row r="7" customFormat="false" ht="69.75" hidden="false" customHeight="true" outlineLevel="0" collapsed="false">
      <c r="A7" s="4" t="s">
        <v>22</v>
      </c>
      <c r="B7" s="5" t="s">
        <v>23</v>
      </c>
      <c r="C7" s="6" t="s">
        <v>24</v>
      </c>
      <c r="M7" s="7" t="s">
        <v>25</v>
      </c>
      <c r="N7" s="8" t="s">
        <v>26</v>
      </c>
      <c r="O7" s="9" t="s">
        <v>27</v>
      </c>
      <c r="P7" s="10" t="s">
        <v>28</v>
      </c>
      <c r="Q7" s="11" t="s">
        <v>29</v>
      </c>
      <c r="R7" s="12" t="s">
        <v>30</v>
      </c>
    </row>
    <row r="8" customFormat="false" ht="69.75" hidden="false" customHeight="true" outlineLevel="0" collapsed="false">
      <c r="A8" s="4" t="s">
        <v>31</v>
      </c>
      <c r="B8" s="5" t="s">
        <v>32</v>
      </c>
      <c r="C8" s="6" t="s">
        <v>33</v>
      </c>
      <c r="M8" s="7" t="s">
        <v>34</v>
      </c>
      <c r="N8" s="8" t="s">
        <v>35</v>
      </c>
      <c r="O8" s="9" t="s">
        <v>36</v>
      </c>
      <c r="P8" s="10" t="s">
        <v>37</v>
      </c>
      <c r="Q8" s="11" t="s">
        <v>38</v>
      </c>
      <c r="R8" s="12" t="s">
        <v>39</v>
      </c>
    </row>
    <row r="11" customFormat="false" ht="15" hidden="false" customHeight="false" outlineLevel="0" collapsed="false">
      <c r="A11" s="4" t="s">
        <v>40</v>
      </c>
    </row>
    <row r="12" customFormat="false" ht="15" hidden="false" customHeight="false" outlineLevel="0" collapsed="false">
      <c r="A12" s="13" t="s">
        <v>41</v>
      </c>
    </row>
    <row r="13" customFormat="false" ht="15" hidden="false" customHeight="false" outlineLevel="0" collapsed="false">
      <c r="A13" s="14" t="s">
        <v>42</v>
      </c>
    </row>
    <row r="14" customFormat="false" ht="15" hidden="false" customHeight="false" outlineLevel="0" collapsed="false">
      <c r="A14" s="15" t="s">
        <v>43</v>
      </c>
    </row>
    <row r="16" customFormat="false" ht="15" hidden="false" customHeight="false" outlineLevel="0" collapsed="false">
      <c r="A16" s="4" t="s">
        <v>44</v>
      </c>
    </row>
    <row r="17" customFormat="false" ht="15" hidden="false" customHeight="false" outlineLevel="0" collapsed="false">
      <c r="A17" s="16" t="s">
        <v>45</v>
      </c>
    </row>
    <row r="18" customFormat="false" ht="15" hidden="false" customHeight="false" outlineLevel="0" collapsed="false">
      <c r="A18" s="16" t="s">
        <v>46</v>
      </c>
    </row>
    <row r="19" customFormat="false" ht="15" hidden="false" customHeight="false" outlineLevel="0" collapsed="false">
      <c r="A19" s="16" t="s">
        <v>47</v>
      </c>
    </row>
    <row r="20" customFormat="false" ht="15" hidden="false" customHeight="false" outlineLevel="0" collapsed="false">
      <c r="A20" s="16" t="s">
        <v>48</v>
      </c>
    </row>
    <row r="21" customFormat="false" ht="15" hidden="false" customHeight="false" outlineLevel="0" collapsed="false">
      <c r="A21" s="16" t="s">
        <v>49</v>
      </c>
    </row>
    <row r="22" customFormat="false" ht="15" hidden="false" customHeight="false" outlineLevel="0" collapsed="false">
      <c r="A22" s="16" t="s">
        <v>50</v>
      </c>
    </row>
    <row r="23" customFormat="false" ht="15" hidden="false" customHeight="false" outlineLevel="0" collapsed="false">
      <c r="A23" s="16" t="s">
        <v>51</v>
      </c>
    </row>
    <row r="24" customFormat="false" ht="15" hidden="false" customHeight="false" outlineLevel="0" collapsed="false">
      <c r="A24" s="16" t="s">
        <v>52</v>
      </c>
    </row>
    <row r="25" customFormat="false" ht="15" hidden="false" customHeight="false" outlineLevel="0" collapsed="false">
      <c r="A25" s="16" t="s">
        <v>53</v>
      </c>
    </row>
  </sheetData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6" min="5" style="0" width="20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7" t="s">
        <v>54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18" t="s">
        <v>55</v>
      </c>
      <c r="B3" s="18" t="s">
        <v>56</v>
      </c>
      <c r="C3" s="18" t="s">
        <v>57</v>
      </c>
      <c r="D3" s="18" t="s">
        <v>58</v>
      </c>
      <c r="E3" s="18" t="s">
        <v>59</v>
      </c>
      <c r="F3" s="18" t="s">
        <v>60</v>
      </c>
      <c r="G3" s="18" t="s">
        <v>61</v>
      </c>
      <c r="H3" s="18" t="s">
        <v>62</v>
      </c>
      <c r="J3" s="19" t="s">
        <v>63</v>
      </c>
      <c r="K3" s="0" t="n">
        <v>3</v>
      </c>
    </row>
    <row r="4" customFormat="false" ht="15" hidden="false" customHeight="false" outlineLevel="0" collapsed="false">
      <c r="A4" s="0" t="s">
        <v>64</v>
      </c>
      <c r="B4" s="0" t="n">
        <v>2</v>
      </c>
      <c r="C4" s="0" t="n">
        <v>0</v>
      </c>
      <c r="D4" s="0" t="n">
        <v>109.47</v>
      </c>
      <c r="E4" s="0" t="n">
        <f aca="false">IF(C4=0,109.47,DEGREES(ACOS(-1/$K$3+C4*2/$K$4^2)))</f>
        <v>109.47</v>
      </c>
      <c r="F4" s="0" t="n">
        <f aca="false">IF(C4=0,109.47,DEGREES(ACOS((-1/$K$3+C4*2/$K$4^2)/(B4-1)^2)))</f>
        <v>109.47</v>
      </c>
      <c r="G4" s="0" t="n">
        <f aca="false">E4-D4</f>
        <v>0</v>
      </c>
      <c r="H4" s="0" t="n">
        <f aca="false">F4-D4</f>
        <v>0</v>
      </c>
      <c r="J4" s="19" t="s">
        <v>65</v>
      </c>
      <c r="K4" s="0" t="n">
        <v>7</v>
      </c>
    </row>
    <row r="5" customFormat="false" ht="15" hidden="false" customHeight="false" outlineLevel="0" collapsed="false">
      <c r="A5" s="0" t="s">
        <v>66</v>
      </c>
      <c r="B5" s="0" t="n">
        <v>2</v>
      </c>
      <c r="C5" s="0" t="n">
        <v>1</v>
      </c>
      <c r="D5" s="0" t="n">
        <v>107</v>
      </c>
      <c r="E5" s="0" t="n">
        <f aca="false">IF(C5=0,109.47,DEGREES(ACOS(-1/$K$3+C5*2/$K$4^2)))</f>
        <v>107.008705791007</v>
      </c>
      <c r="F5" s="0" t="n">
        <f aca="false">IF(C5=0,109.47,DEGREES(ACOS((-1/$K$3+C5*2/$K$4^2)/(B5-1)^2)))</f>
        <v>107.008705791007</v>
      </c>
      <c r="G5" s="0" t="n">
        <f aca="false">E5-D5</f>
        <v>0.00870579100667612</v>
      </c>
      <c r="H5" s="0" t="n">
        <f aca="false">F5-D5</f>
        <v>0.00870579100667612</v>
      </c>
    </row>
    <row r="6" customFormat="false" ht="15" hidden="false" customHeight="false" outlineLevel="0" collapsed="false">
      <c r="A6" s="0" t="s">
        <v>67</v>
      </c>
      <c r="B6" s="0" t="n">
        <v>2</v>
      </c>
      <c r="C6" s="0" t="n">
        <v>2</v>
      </c>
      <c r="D6" s="0" t="n">
        <v>104.45</v>
      </c>
      <c r="E6" s="0" t="n">
        <f aca="false">IF(C6=0,109.47,DEGREES(ACOS(-1/$K$3+C6*2/$K$4^2)))</f>
        <v>104.578172528625</v>
      </c>
      <c r="F6" s="0" t="n">
        <f aca="false">IF(C6=0,109.47,DEGREES(ACOS((-1/$K$3+C6*2/$K$4^2)/(B6-1)^2)))</f>
        <v>104.578172528625</v>
      </c>
      <c r="G6" s="0" t="n">
        <f aca="false">E6-D6</f>
        <v>0.128172528625441</v>
      </c>
      <c r="H6" s="0" t="n">
        <f aca="false">F6-D6</f>
        <v>0.128172528625441</v>
      </c>
    </row>
    <row r="7" customFormat="false" ht="15" hidden="false" customHeight="false" outlineLevel="0" collapsed="false">
      <c r="A7" s="0" t="s">
        <v>68</v>
      </c>
      <c r="B7" s="0" t="n">
        <v>3</v>
      </c>
      <c r="C7" s="0" t="n">
        <v>0</v>
      </c>
      <c r="D7" s="0" t="n">
        <v>109.47</v>
      </c>
      <c r="E7" s="0" t="n">
        <f aca="false">IF(C7=0,109.47,DEGREES(ACOS(-1/$K$3+C7*2/$K$4^2)))</f>
        <v>109.47</v>
      </c>
      <c r="F7" s="0" t="n">
        <f aca="false">IF(C7=0,109.47,DEGREES(ACOS((-1/$K$3+C7*2/$K$4^2)/(B7-1)^2)))</f>
        <v>109.47</v>
      </c>
      <c r="G7" s="0" t="n">
        <f aca="false">E7-D7</f>
        <v>0</v>
      </c>
      <c r="H7" s="0" t="n">
        <f aca="false">F7-D7</f>
        <v>0</v>
      </c>
    </row>
    <row r="8" customFormat="false" ht="15" hidden="false" customHeight="false" outlineLevel="0" collapsed="false">
      <c r="A8" s="0" t="s">
        <v>69</v>
      </c>
      <c r="B8" s="0" t="n">
        <v>3</v>
      </c>
      <c r="C8" s="0" t="n">
        <v>1</v>
      </c>
      <c r="D8" s="0" t="n">
        <v>93.3</v>
      </c>
      <c r="E8" s="0" t="n">
        <f aca="false">IF(C8=0,109.47,DEGREES(ACOS(-1/$K$3+C8*2/$K$4^2)))</f>
        <v>107.008705791007</v>
      </c>
      <c r="F8" s="0" t="n">
        <f aca="false">IF(C8=0,109.47,DEGREES(ACOS((-1/$K$3+C8*2/$K$4^2)/(B8-1)^2)))</f>
        <v>94.1937411034537</v>
      </c>
      <c r="G8" s="0" t="n">
        <f aca="false">E8-D8</f>
        <v>13.7087057910067</v>
      </c>
      <c r="H8" s="0" t="n">
        <f aca="false">F8-D8</f>
        <v>0.893741103453706</v>
      </c>
    </row>
    <row r="9" customFormat="false" ht="15" hidden="false" customHeight="false" outlineLevel="0" collapsed="false">
      <c r="A9" s="0" t="s">
        <v>70</v>
      </c>
      <c r="B9" s="0" t="n">
        <v>3</v>
      </c>
      <c r="C9" s="0" t="n">
        <v>2</v>
      </c>
      <c r="D9" s="0" t="n">
        <v>92.1</v>
      </c>
      <c r="E9" s="0" t="n">
        <f aca="false">IF(C9=0,109.47,DEGREES(ACOS(-1/$K$3+C9*2/$K$4^2)))</f>
        <v>104.578172528625</v>
      </c>
      <c r="F9" s="0" t="n">
        <f aca="false">IF(C9=0,109.47,DEGREES(ACOS((-1/$K$3+C9*2/$K$4^2)/(B9-1)^2)))</f>
        <v>93.6077301941165</v>
      </c>
      <c r="G9" s="0" t="n">
        <f aca="false">E9-D9</f>
        <v>12.4781725286255</v>
      </c>
      <c r="H9" s="0" t="n">
        <f aca="false">F9-D9</f>
        <v>1.50773019411646</v>
      </c>
    </row>
    <row r="10" customFormat="false" ht="15" hidden="false" customHeight="false" outlineLevel="0" collapsed="false">
      <c r="A10" s="0" t="s">
        <v>71</v>
      </c>
      <c r="B10" s="0" t="n">
        <v>4</v>
      </c>
      <c r="C10" s="0" t="n">
        <v>0</v>
      </c>
      <c r="D10" s="0" t="n">
        <v>109.3</v>
      </c>
      <c r="E10" s="0" t="n">
        <f aca="false">IF(C10=0,109.47,DEGREES(ACOS(-1/$K$3+C10*2/$K$4^2)))</f>
        <v>109.47</v>
      </c>
      <c r="F10" s="0" t="n">
        <f aca="false">IF(C10=0,109.47,DEGREES(ACOS((-1/$K$3+C10*2/$K$4^2)/(B10-1)^2)))</f>
        <v>109.47</v>
      </c>
      <c r="G10" s="0" t="n">
        <f aca="false">E10-D10</f>
        <v>0.170000000000002</v>
      </c>
      <c r="H10" s="0" t="n">
        <f aca="false">F10-D10</f>
        <v>0.170000000000002</v>
      </c>
    </row>
    <row r="11" customFormat="false" ht="15" hidden="false" customHeight="false" outlineLevel="0" collapsed="false">
      <c r="A11" s="0" t="s">
        <v>72</v>
      </c>
      <c r="B11" s="0" t="n">
        <v>4</v>
      </c>
      <c r="C11" s="0" t="n">
        <v>1</v>
      </c>
      <c r="D11" s="0" t="n">
        <v>91.8</v>
      </c>
      <c r="E11" s="0" t="n">
        <f aca="false">IF(C11=0,109.47,DEGREES(ACOS(-1/$K$3+C11*2/$K$4^2)))</f>
        <v>107.008705791007</v>
      </c>
      <c r="F11" s="0" t="n">
        <f aca="false">IF(C11=0,109.47,DEGREES(ACOS((-1/$K$3+C11*2/$K$4^2)/(B11-1)^2)))</f>
        <v>91.8625491254288</v>
      </c>
      <c r="G11" s="0" t="n">
        <f aca="false">E11-D11</f>
        <v>15.2087057910067</v>
      </c>
      <c r="H11" s="0" t="n">
        <f aca="false">F11-D11</f>
        <v>0.0625491254288164</v>
      </c>
    </row>
    <row r="12" customFormat="false" ht="15" hidden="false" customHeight="false" outlineLevel="0" collapsed="false">
      <c r="A12" s="0" t="s">
        <v>73</v>
      </c>
      <c r="B12" s="0" t="n">
        <v>4</v>
      </c>
      <c r="C12" s="0" t="n">
        <v>2</v>
      </c>
      <c r="D12" s="0" t="n">
        <v>91</v>
      </c>
      <c r="E12" s="0" t="n">
        <f aca="false">IF(C12=0,109.47,DEGREES(ACOS(-1/$K$3+C12*2/$K$4^2)))</f>
        <v>104.578172528625</v>
      </c>
      <c r="F12" s="0" t="n">
        <f aca="false">IF(C12=0,109.47,DEGREES(ACOS((-1/$K$3+C12*2/$K$4^2)/(B12-1)^2)))</f>
        <v>91.6025852514265</v>
      </c>
      <c r="G12" s="0" t="n">
        <f aca="false">E12-D12</f>
        <v>13.5781725286254</v>
      </c>
      <c r="H12" s="0" t="n">
        <f aca="false">F12-D12</f>
        <v>0.602585251426461</v>
      </c>
    </row>
    <row r="13" customFormat="false" ht="15" hidden="false" customHeight="false" outlineLevel="0" collapsed="false">
      <c r="A13" s="0" t="s">
        <v>74</v>
      </c>
      <c r="B13" s="0" t="n">
        <v>5</v>
      </c>
      <c r="C13" s="0" t="n">
        <v>0</v>
      </c>
      <c r="D13" s="0" t="n">
        <v>109.5</v>
      </c>
      <c r="E13" s="0" t="n">
        <f aca="false">IF(C13=0,109.47,DEGREES(ACOS(-1/$K$3+C13*2/$K$4^2)))</f>
        <v>109.47</v>
      </c>
      <c r="F13" s="0" t="n">
        <f aca="false">IF(C13=0,109.47,DEGREES(ACOS((-1/$K$3+C13*2/$K$4^2)/(B13-1)^2)))</f>
        <v>109.47</v>
      </c>
      <c r="G13" s="0" t="n">
        <f aca="false">E13-D13</f>
        <v>-0.0300000000000011</v>
      </c>
      <c r="H13" s="0" t="n">
        <f aca="false">F13-D13</f>
        <v>-0.0300000000000011</v>
      </c>
    </row>
    <row r="14" customFormat="false" ht="15" hidden="false" customHeight="false" outlineLevel="0" collapsed="false">
      <c r="A14" s="0" t="s">
        <v>75</v>
      </c>
      <c r="B14" s="0" t="n">
        <v>5</v>
      </c>
      <c r="C14" s="0" t="n">
        <v>1</v>
      </c>
      <c r="D14" s="0" t="n">
        <v>91.7</v>
      </c>
      <c r="E14" s="0" t="n">
        <f aca="false">IF(C14=0,109.47,DEGREES(ACOS(-1/$K$3+C14*2/$K$4^2)))</f>
        <v>107.008705791007</v>
      </c>
      <c r="F14" s="0" t="n">
        <f aca="false">IF(C14=0,109.47,DEGREES(ACOS((-1/$K$3+C14*2/$K$4^2)/(B14-1)^2)))</f>
        <v>91.0475577323444</v>
      </c>
      <c r="G14" s="0" t="n">
        <f aca="false">E14-D14</f>
        <v>15.3087057910067</v>
      </c>
      <c r="H14" s="0" t="n">
        <f aca="false">F14-D14</f>
        <v>-0.652442267655616</v>
      </c>
    </row>
    <row r="15" customFormat="false" ht="15" hidden="false" customHeight="false" outlineLevel="0" collapsed="false">
      <c r="A15" s="0" t="s">
        <v>76</v>
      </c>
      <c r="B15" s="0" t="n">
        <v>5</v>
      </c>
      <c r="C15" s="0" t="n">
        <v>2</v>
      </c>
      <c r="D15" s="0" t="n">
        <v>90.25</v>
      </c>
      <c r="E15" s="0" t="n">
        <f aca="false">IF(C15=0,109.47,DEGREES(ACOS(-1/$K$3+C15*2/$K$4^2)))</f>
        <v>104.578172528625</v>
      </c>
      <c r="F15" s="0" t="n">
        <f aca="false">IF(C15=0,109.47,DEGREES(ACOS((-1/$K$3+C15*2/$K$4^2)/(B15-1)^2)))</f>
        <v>90.9013738478172</v>
      </c>
      <c r="G15" s="0" t="n">
        <f aca="false">E15-D15</f>
        <v>14.3281725286254</v>
      </c>
      <c r="H15" s="0" t="n">
        <f aca="false">F15-D15</f>
        <v>0.651373847817169</v>
      </c>
    </row>
    <row r="17" customFormat="false" ht="15" hidden="false" customHeight="false" outlineLevel="0" collapsed="false">
      <c r="A17" s="19" t="s">
        <v>77</v>
      </c>
      <c r="G17" s="0" t="n">
        <f aca="false">SUMPRODUCT(ABS(G4:G15))/12</f>
        <v>7.07895943987737</v>
      </c>
      <c r="H17" s="0" t="n">
        <f aca="false">SUMPRODUCT(ABS(H4:H15))/12</f>
        <v>0.392275009127529</v>
      </c>
    </row>
    <row r="20" customFormat="false" ht="15" hidden="false" customHeight="false" outlineLevel="0" collapsed="false">
      <c r="A20" s="4" t="s">
        <v>78</v>
      </c>
    </row>
    <row r="21" customFormat="false" ht="15" hidden="false" customHeight="false" outlineLevel="0" collapsed="false">
      <c r="A21" s="20" t="s">
        <v>79</v>
      </c>
    </row>
    <row r="22" customFormat="false" ht="15" hidden="false" customHeight="false" outlineLevel="0" collapsed="false">
      <c r="A22" s="20" t="s">
        <v>80</v>
      </c>
    </row>
    <row r="23" customFormat="false" ht="15" hidden="false" customHeight="false" outlineLevel="0" collapsed="false">
      <c r="A23" s="20" t="s">
        <v>81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38"/>
  </cols>
  <sheetData>
    <row r="1" customFormat="false" ht="17.35" hidden="false" customHeight="false" outlineLevel="0" collapsed="false">
      <c r="A1" s="17" t="s">
        <v>82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0" t="s">
        <v>83</v>
      </c>
    </row>
    <row r="4" customFormat="false" ht="15" hidden="false" customHeight="false" outlineLevel="0" collapsed="false">
      <c r="A4" s="0" t="s">
        <v>84</v>
      </c>
    </row>
    <row r="5" customFormat="false" ht="15" hidden="false" customHeight="false" outlineLevel="0" collapsed="false">
      <c r="A5" s="0" t="s">
        <v>85</v>
      </c>
    </row>
    <row r="7" customFormat="false" ht="15" hidden="false" customHeight="false" outlineLevel="0" collapsed="false">
      <c r="A7" s="18" t="s">
        <v>86</v>
      </c>
      <c r="B7" s="18" t="s">
        <v>87</v>
      </c>
      <c r="C7" s="18" t="s">
        <v>88</v>
      </c>
      <c r="D7" s="18" t="s">
        <v>89</v>
      </c>
      <c r="E7" s="18" t="s">
        <v>90</v>
      </c>
      <c r="F7" s="18" t="s">
        <v>91</v>
      </c>
      <c r="G7" s="18" t="s">
        <v>92</v>
      </c>
      <c r="H7" s="18" t="s">
        <v>93</v>
      </c>
      <c r="I7" s="18" t="s">
        <v>94</v>
      </c>
    </row>
    <row r="8" customFormat="false" ht="15" hidden="false" customHeight="false" outlineLevel="0" collapsed="false">
      <c r="A8" s="21" t="s">
        <v>95</v>
      </c>
      <c r="B8" s="21" t="n">
        <v>3</v>
      </c>
      <c r="C8" s="21" t="n">
        <v>2</v>
      </c>
      <c r="D8" s="21" t="n">
        <v>1</v>
      </c>
      <c r="E8" s="21" t="n">
        <f aca="false">D8/8</f>
        <v>0.125</v>
      </c>
      <c r="F8" s="21" t="n">
        <f aca="false">ABS(E8-0.5)</f>
        <v>0.375</v>
      </c>
      <c r="G8" s="21" t="n">
        <f aca="false">MIN(D8,4,8-D8)</f>
        <v>1</v>
      </c>
      <c r="H8" s="21" t="s">
        <v>96</v>
      </c>
      <c r="I8" s="21" t="s">
        <v>97</v>
      </c>
    </row>
    <row r="9" customFormat="false" ht="15" hidden="false" customHeight="false" outlineLevel="0" collapsed="false">
      <c r="A9" s="22" t="s">
        <v>98</v>
      </c>
      <c r="B9" s="22" t="n">
        <v>4</v>
      </c>
      <c r="C9" s="22" t="n">
        <v>2</v>
      </c>
      <c r="D9" s="22" t="n">
        <v>2</v>
      </c>
      <c r="E9" s="22" t="n">
        <f aca="false">D9/8</f>
        <v>0.25</v>
      </c>
      <c r="F9" s="22" t="n">
        <f aca="false">ABS(E9-0.5)</f>
        <v>0.25</v>
      </c>
      <c r="G9" s="22" t="n">
        <f aca="false">MIN(D9,4,8-D9)</f>
        <v>2</v>
      </c>
      <c r="H9" s="22" t="s">
        <v>99</v>
      </c>
      <c r="I9" s="22" t="s">
        <v>97</v>
      </c>
    </row>
    <row r="10" customFormat="false" ht="15" hidden="false" customHeight="false" outlineLevel="0" collapsed="false">
      <c r="A10" s="23" t="s">
        <v>100</v>
      </c>
      <c r="B10" s="23" t="n">
        <v>5</v>
      </c>
      <c r="C10" s="23" t="n">
        <v>2</v>
      </c>
      <c r="D10" s="23" t="n">
        <v>3</v>
      </c>
      <c r="E10" s="23" t="n">
        <f aca="false">D10/8</f>
        <v>0.375</v>
      </c>
      <c r="F10" s="23" t="n">
        <f aca="false">ABS(E10-0.5)</f>
        <v>0.125</v>
      </c>
      <c r="G10" s="23" t="n">
        <f aca="false">MIN(D10,4,8-D10)</f>
        <v>3</v>
      </c>
      <c r="H10" s="23" t="s">
        <v>101</v>
      </c>
      <c r="I10" s="23" t="s">
        <v>97</v>
      </c>
    </row>
    <row r="11" customFormat="false" ht="15" hidden="false" customHeight="false" outlineLevel="0" collapsed="false">
      <c r="A11" s="14" t="s">
        <v>102</v>
      </c>
      <c r="B11" s="14" t="n">
        <v>6</v>
      </c>
      <c r="C11" s="14" t="n">
        <v>2</v>
      </c>
      <c r="D11" s="14" t="n">
        <v>4</v>
      </c>
      <c r="E11" s="14" t="n">
        <f aca="false">D11/8</f>
        <v>0.5</v>
      </c>
      <c r="F11" s="14" t="n">
        <f aca="false">ABS(E11-0.5)</f>
        <v>0</v>
      </c>
      <c r="G11" s="14" t="n">
        <f aca="false">MIN(D11,4,8-D11)</f>
        <v>4</v>
      </c>
      <c r="H11" s="14" t="s">
        <v>103</v>
      </c>
      <c r="I11" s="14" t="s">
        <v>104</v>
      </c>
    </row>
    <row r="12" customFormat="false" ht="15" hidden="false" customHeight="false" outlineLevel="0" collapsed="false">
      <c r="A12" s="24" t="s">
        <v>105</v>
      </c>
      <c r="B12" s="24" t="n">
        <v>7</v>
      </c>
      <c r="C12" s="24" t="n">
        <v>2</v>
      </c>
      <c r="D12" s="24" t="n">
        <v>5</v>
      </c>
      <c r="E12" s="24" t="n">
        <f aca="false">D12/8</f>
        <v>0.625</v>
      </c>
      <c r="F12" s="24" t="n">
        <f aca="false">ABS(E12-0.5)</f>
        <v>0.125</v>
      </c>
      <c r="G12" s="24" t="n">
        <f aca="false">MIN(D12,4,8-D12)</f>
        <v>3</v>
      </c>
      <c r="H12" s="24" t="s">
        <v>106</v>
      </c>
      <c r="I12" s="24" t="s">
        <v>107</v>
      </c>
    </row>
    <row r="13" customFormat="false" ht="15" hidden="false" customHeight="false" outlineLevel="0" collapsed="false">
      <c r="A13" s="25" t="s">
        <v>108</v>
      </c>
      <c r="B13" s="25" t="n">
        <v>8</v>
      </c>
      <c r="C13" s="25" t="n">
        <v>2</v>
      </c>
      <c r="D13" s="25" t="n">
        <v>6</v>
      </c>
      <c r="E13" s="25" t="n">
        <f aca="false">D13/8</f>
        <v>0.75</v>
      </c>
      <c r="F13" s="25" t="n">
        <f aca="false">ABS(E13-0.5)</f>
        <v>0.25</v>
      </c>
      <c r="G13" s="25" t="n">
        <f aca="false">MIN(D13,4,8-D13)</f>
        <v>2</v>
      </c>
      <c r="H13" s="25" t="s">
        <v>109</v>
      </c>
      <c r="I13" s="25" t="s">
        <v>107</v>
      </c>
    </row>
    <row r="14" customFormat="false" ht="15" hidden="false" customHeight="false" outlineLevel="0" collapsed="false">
      <c r="A14" s="26" t="s">
        <v>110</v>
      </c>
      <c r="B14" s="26" t="n">
        <v>9</v>
      </c>
      <c r="C14" s="26" t="n">
        <v>2</v>
      </c>
      <c r="D14" s="26" t="n">
        <v>7</v>
      </c>
      <c r="E14" s="26" t="n">
        <f aca="false">D14/8</f>
        <v>0.875</v>
      </c>
      <c r="F14" s="26" t="n">
        <f aca="false">ABS(E14-0.5)</f>
        <v>0.375</v>
      </c>
      <c r="G14" s="26" t="n">
        <f aca="false">MIN(D14,4,8-D14)</f>
        <v>1</v>
      </c>
      <c r="H14" s="26" t="s">
        <v>111</v>
      </c>
      <c r="I14" s="26" t="s">
        <v>107</v>
      </c>
    </row>
    <row r="15" customFormat="false" ht="15" hidden="false" customHeight="false" outlineLevel="0" collapsed="false">
      <c r="A15" s="27" t="s">
        <v>112</v>
      </c>
      <c r="B15" s="27" t="n">
        <v>10</v>
      </c>
      <c r="C15" s="27" t="n">
        <v>2</v>
      </c>
      <c r="D15" s="27" t="n">
        <v>8</v>
      </c>
      <c r="E15" s="27" t="n">
        <f aca="false">D15/8</f>
        <v>1</v>
      </c>
      <c r="F15" s="27" t="n">
        <f aca="false">ABS(E15-0.5)</f>
        <v>0.5</v>
      </c>
      <c r="G15" s="27" t="n">
        <f aca="false">MIN(D15,4,8-D15)</f>
        <v>0</v>
      </c>
      <c r="H15" s="27" t="s">
        <v>113</v>
      </c>
      <c r="I15" s="27" t="s">
        <v>114</v>
      </c>
    </row>
    <row r="16" customFormat="false" ht="15" hidden="false" customHeight="false" outlineLevel="0" collapsed="false">
      <c r="A16" s="21" t="s">
        <v>115</v>
      </c>
      <c r="B16" s="21" t="n">
        <v>11</v>
      </c>
      <c r="C16" s="21" t="n">
        <v>3</v>
      </c>
      <c r="D16" s="21" t="n">
        <v>1</v>
      </c>
      <c r="E16" s="21" t="n">
        <f aca="false">D16/8</f>
        <v>0.125</v>
      </c>
      <c r="F16" s="21" t="n">
        <f aca="false">ABS(E16-0.5)</f>
        <v>0.375</v>
      </c>
      <c r="G16" s="21" t="n">
        <f aca="false">MIN(D16,4,8-D16)</f>
        <v>1</v>
      </c>
      <c r="H16" s="21" t="s">
        <v>96</v>
      </c>
      <c r="I16" s="21" t="s">
        <v>97</v>
      </c>
    </row>
    <row r="17" customFormat="false" ht="15" hidden="false" customHeight="false" outlineLevel="0" collapsed="false">
      <c r="A17" s="22" t="s">
        <v>116</v>
      </c>
      <c r="B17" s="22" t="n">
        <v>12</v>
      </c>
      <c r="C17" s="22" t="n">
        <v>3</v>
      </c>
      <c r="D17" s="22" t="n">
        <v>2</v>
      </c>
      <c r="E17" s="22" t="n">
        <f aca="false">D17/8</f>
        <v>0.25</v>
      </c>
      <c r="F17" s="22" t="n">
        <f aca="false">ABS(E17-0.5)</f>
        <v>0.25</v>
      </c>
      <c r="G17" s="22" t="n">
        <f aca="false">MIN(D17,4,8-D17)</f>
        <v>2</v>
      </c>
      <c r="H17" s="22" t="s">
        <v>99</v>
      </c>
      <c r="I17" s="22" t="s">
        <v>97</v>
      </c>
    </row>
    <row r="18" customFormat="false" ht="15" hidden="false" customHeight="false" outlineLevel="0" collapsed="false">
      <c r="A18" s="23" t="s">
        <v>117</v>
      </c>
      <c r="B18" s="23" t="n">
        <v>13</v>
      </c>
      <c r="C18" s="23" t="n">
        <v>3</v>
      </c>
      <c r="D18" s="23" t="n">
        <v>3</v>
      </c>
      <c r="E18" s="23" t="n">
        <f aca="false">D18/8</f>
        <v>0.375</v>
      </c>
      <c r="F18" s="23" t="n">
        <f aca="false">ABS(E18-0.5)</f>
        <v>0.125</v>
      </c>
      <c r="G18" s="23" t="n">
        <f aca="false">MIN(D18,4,8-D18)</f>
        <v>3</v>
      </c>
      <c r="H18" s="23" t="s">
        <v>101</v>
      </c>
      <c r="I18" s="23" t="s">
        <v>97</v>
      </c>
    </row>
    <row r="19" customFormat="false" ht="15" hidden="false" customHeight="false" outlineLevel="0" collapsed="false">
      <c r="A19" s="14" t="s">
        <v>118</v>
      </c>
      <c r="B19" s="14" t="n">
        <v>14</v>
      </c>
      <c r="C19" s="14" t="n">
        <v>3</v>
      </c>
      <c r="D19" s="14" t="n">
        <v>4</v>
      </c>
      <c r="E19" s="14" t="n">
        <f aca="false">D19/8</f>
        <v>0.5</v>
      </c>
      <c r="F19" s="14" t="n">
        <f aca="false">ABS(E19-0.5)</f>
        <v>0</v>
      </c>
      <c r="G19" s="14" t="n">
        <f aca="false">MIN(D19,4,8-D19)</f>
        <v>4</v>
      </c>
      <c r="H19" s="14" t="s">
        <v>119</v>
      </c>
      <c r="I19" s="14" t="s">
        <v>104</v>
      </c>
    </row>
    <row r="20" customFormat="false" ht="15" hidden="false" customHeight="false" outlineLevel="0" collapsed="false">
      <c r="A20" s="24" t="s">
        <v>120</v>
      </c>
      <c r="B20" s="24" t="n">
        <v>15</v>
      </c>
      <c r="C20" s="24" t="n">
        <v>3</v>
      </c>
      <c r="D20" s="24" t="n">
        <v>5</v>
      </c>
      <c r="E20" s="24" t="n">
        <f aca="false">D20/8</f>
        <v>0.625</v>
      </c>
      <c r="F20" s="24" t="n">
        <f aca="false">ABS(E20-0.5)</f>
        <v>0.125</v>
      </c>
      <c r="G20" s="24" t="n">
        <f aca="false">MIN(D20,4,8-D20)</f>
        <v>3</v>
      </c>
      <c r="H20" s="24" t="s">
        <v>106</v>
      </c>
      <c r="I20" s="24" t="s">
        <v>107</v>
      </c>
    </row>
    <row r="21" customFormat="false" ht="15" hidden="false" customHeight="false" outlineLevel="0" collapsed="false">
      <c r="A21" s="25" t="s">
        <v>121</v>
      </c>
      <c r="B21" s="25" t="n">
        <v>16</v>
      </c>
      <c r="C21" s="25" t="n">
        <v>3</v>
      </c>
      <c r="D21" s="25" t="n">
        <v>6</v>
      </c>
      <c r="E21" s="25" t="n">
        <f aca="false">D21/8</f>
        <v>0.75</v>
      </c>
      <c r="F21" s="25" t="n">
        <f aca="false">ABS(E21-0.5)</f>
        <v>0.25</v>
      </c>
      <c r="G21" s="25" t="n">
        <f aca="false">MIN(D21,4,8-D21)</f>
        <v>2</v>
      </c>
      <c r="H21" s="25" t="s">
        <v>122</v>
      </c>
      <c r="I21" s="25" t="s">
        <v>107</v>
      </c>
    </row>
    <row r="22" customFormat="false" ht="15" hidden="false" customHeight="false" outlineLevel="0" collapsed="false">
      <c r="A22" s="26" t="s">
        <v>123</v>
      </c>
      <c r="B22" s="26" t="n">
        <v>17</v>
      </c>
      <c r="C22" s="26" t="n">
        <v>3</v>
      </c>
      <c r="D22" s="26" t="n">
        <v>7</v>
      </c>
      <c r="E22" s="26" t="n">
        <f aca="false">D22/8</f>
        <v>0.875</v>
      </c>
      <c r="F22" s="26" t="n">
        <f aca="false">ABS(E22-0.5)</f>
        <v>0.375</v>
      </c>
      <c r="G22" s="26" t="n">
        <f aca="false">MIN(D22,4,8-D22)</f>
        <v>1</v>
      </c>
      <c r="H22" s="26" t="s">
        <v>124</v>
      </c>
      <c r="I22" s="26" t="s">
        <v>107</v>
      </c>
    </row>
    <row r="23" customFormat="false" ht="15" hidden="false" customHeight="false" outlineLevel="0" collapsed="false">
      <c r="A23" s="27" t="s">
        <v>125</v>
      </c>
      <c r="B23" s="27" t="n">
        <v>18</v>
      </c>
      <c r="C23" s="27" t="n">
        <v>3</v>
      </c>
      <c r="D23" s="27" t="n">
        <v>8</v>
      </c>
      <c r="E23" s="27" t="n">
        <f aca="false">D23/8</f>
        <v>1</v>
      </c>
      <c r="F23" s="27" t="n">
        <f aca="false">ABS(E23-0.5)</f>
        <v>0.5</v>
      </c>
      <c r="G23" s="27" t="n">
        <f aca="false">MIN(D23,4,8-D23)</f>
        <v>0</v>
      </c>
      <c r="H23" s="27" t="s">
        <v>113</v>
      </c>
      <c r="I23" s="27" t="s">
        <v>114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7" t="s">
        <v>126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4" t="s">
        <v>127</v>
      </c>
    </row>
    <row r="4" customFormat="false" ht="15" hidden="false" customHeight="false" outlineLevel="0" collapsed="false">
      <c r="A4" s="0" t="s">
        <v>128</v>
      </c>
    </row>
    <row r="5" customFormat="false" ht="15" hidden="false" customHeight="false" outlineLevel="0" collapsed="false">
      <c r="A5" s="0" t="s">
        <v>129</v>
      </c>
    </row>
    <row r="7" customFormat="false" ht="15" hidden="false" customHeight="false" outlineLevel="0" collapsed="false">
      <c r="A7" s="0" t="s">
        <v>130</v>
      </c>
    </row>
    <row r="8" customFormat="false" ht="15" hidden="false" customHeight="false" outlineLevel="0" collapsed="false">
      <c r="A8" s="0" t="s">
        <v>131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2026-04-11T15:47:33Z</dcterms:created>
  <dc:creator>openpyxl</dc:creator>
  <dc:description/>
  <dc:language>en-US</dc:language>
  <cp:lastModifiedBy/>
  <dcterms:modified xsi:type="dcterms:W3CDTF">2026-04-11T15:47:33Z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